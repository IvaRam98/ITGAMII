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tgamii\Downloads\"/>
    </mc:Choice>
  </mc:AlternateContent>
  <xr:revisionPtr revIDLastSave="0" documentId="13_ncr:1_{B1A81024-C505-4421-BB1A-5BB0766376E4}" xr6:coauthVersionLast="47" xr6:coauthVersionMax="47" xr10:uidLastSave="{00000000-0000-0000-0000-000000000000}"/>
  <workbookProtection workbookAlgorithmName="SHA-512" workbookHashValue="pNUFF8EVjl3yp0w+lhBd4JfL15SmE8/D+vcPrebDmF4Y199taYXTxHelpnF6DD1N42Tl8IH1dIXhENkYM2oSyQ==" workbookSaltValue="j5rPKOdM2Pg+FWGLvHGUQg==" workbookSpinCount="100000" lockStructure="1"/>
  <bookViews>
    <workbookView xWindow="-120" yWindow="-120" windowWidth="29040" windowHeight="17640" xr2:uid="{00000000-000D-0000-FFFF-FFFF00000000}"/>
  </bookViews>
  <sheets>
    <sheet name="Linea" sheetId="1" r:id="rId1"/>
    <sheet name="formato para imprimir" sheetId="4" r:id="rId2"/>
    <sheet name="Conceptos" sheetId="2" r:id="rId3"/>
    <sheet name="Ejemplos" sheetId="3" r:id="rId4"/>
  </sheets>
  <definedNames>
    <definedName name="_xlnm._FilterDatabase" localSheetId="2" hidden="1">Conceptos!$A$2:$D$4</definedName>
    <definedName name="_xlnm.Print_Area" localSheetId="1">'formato para imprimir'!$B$2:$AX$23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8" i="1" l="1"/>
  <c r="AN14" i="4" l="1"/>
  <c r="H45" i="2" l="1"/>
  <c r="D8" i="4" l="1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AF8" i="4"/>
  <c r="AG8" i="4"/>
  <c r="AH8" i="4"/>
  <c r="AI8" i="4"/>
  <c r="AJ8" i="4"/>
  <c r="AK8" i="4"/>
  <c r="AL8" i="4"/>
  <c r="AM8" i="4"/>
  <c r="AN8" i="4"/>
  <c r="AO8" i="4"/>
  <c r="AP8" i="4"/>
  <c r="AQ8" i="4"/>
  <c r="AR8" i="4"/>
  <c r="AS8" i="4"/>
  <c r="AT8" i="4"/>
  <c r="AU8" i="4"/>
  <c r="AV8" i="4"/>
  <c r="C8" i="4"/>
  <c r="AN10" i="4"/>
  <c r="J18" i="4"/>
  <c r="K10" i="4" l="1"/>
  <c r="F12" i="4"/>
  <c r="F14" i="4"/>
  <c r="F16" i="4"/>
  <c r="H46" i="2"/>
  <c r="H53" i="2"/>
  <c r="C22" i="1" l="1"/>
  <c r="B23" i="1" s="1"/>
  <c r="D3" i="2"/>
  <c r="D4" i="2"/>
</calcChain>
</file>

<file path=xl/sharedStrings.xml><?xml version="1.0" encoding="utf-8"?>
<sst xmlns="http://schemas.openxmlformats.org/spreadsheetml/2006/main" count="71" uniqueCount="57">
  <si>
    <t>01</t>
  </si>
  <si>
    <t>02</t>
  </si>
  <si>
    <t>03</t>
  </si>
  <si>
    <t>04</t>
  </si>
  <si>
    <t>05</t>
  </si>
  <si>
    <t>Servicios Escolares</t>
  </si>
  <si>
    <t>00</t>
  </si>
  <si>
    <t>División de Estudios Profesionales</t>
  </si>
  <si>
    <t>Biblioteca</t>
  </si>
  <si>
    <t>Vinculación</t>
  </si>
  <si>
    <t>Desarrollo Académico</t>
  </si>
  <si>
    <t>General (Todos)</t>
  </si>
  <si>
    <t>CLAVE</t>
  </si>
  <si>
    <t>CONCEPTO</t>
  </si>
  <si>
    <t>MONTO</t>
  </si>
  <si>
    <t>N_control</t>
  </si>
  <si>
    <t>Monto</t>
  </si>
  <si>
    <t>Linea de Captura</t>
  </si>
  <si>
    <t>Apellido Paterno</t>
  </si>
  <si>
    <t>Apelido Materno</t>
  </si>
  <si>
    <t>Nombre completo:</t>
  </si>
  <si>
    <t>Concepto:</t>
  </si>
  <si>
    <t>Departamento</t>
  </si>
  <si>
    <t>Concepto</t>
  </si>
  <si>
    <t>Semestre</t>
  </si>
  <si>
    <t>Carrera</t>
  </si>
  <si>
    <t>Carrera:</t>
  </si>
  <si>
    <t>ARQUITECTURA</t>
  </si>
  <si>
    <t>SEMESTRE</t>
  </si>
  <si>
    <t>06</t>
  </si>
  <si>
    <t>07</t>
  </si>
  <si>
    <t>08</t>
  </si>
  <si>
    <t>09</t>
  </si>
  <si>
    <t>10</t>
  </si>
  <si>
    <t>11</t>
  </si>
  <si>
    <t>12</t>
  </si>
  <si>
    <t>Monto:</t>
  </si>
  <si>
    <t>Nombre(s)</t>
  </si>
  <si>
    <t>Nùmero de Control:</t>
  </si>
  <si>
    <t>B:</t>
  </si>
  <si>
    <t>Fecha limite de pago:</t>
  </si>
  <si>
    <t>INSTITUTO TECNOLÓGICO DE GUSTAVO A. MADERO II</t>
  </si>
  <si>
    <t>0000000000502</t>
  </si>
  <si>
    <t>0000000000503</t>
  </si>
  <si>
    <t>Semestre/Nivel</t>
  </si>
  <si>
    <t>INGLES INTERNO</t>
  </si>
  <si>
    <t>INGLES EXTERNO</t>
  </si>
  <si>
    <t>Más de 12 semestres</t>
  </si>
  <si>
    <t>Administativo</t>
  </si>
  <si>
    <t>ADMINISTRATIVO</t>
  </si>
  <si>
    <t>Inscripción Nuevo Ingreso</t>
  </si>
  <si>
    <t>Pago de Ficha de Examen de Nuevo Ingreso</t>
  </si>
  <si>
    <t>Planeación y Vinculación</t>
  </si>
  <si>
    <t>LINEA DE CAPTURA PARA ALUMNOS DE NUEVO INGRESO</t>
  </si>
  <si>
    <t>ING. ADMINISTRACIÓN</t>
  </si>
  <si>
    <t>ING. INDUSTRIAL</t>
  </si>
  <si>
    <t>ITIC´S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</si>
</sst>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164" formatCode="[$$-80A]#,##0.00"/>
    <numFmt numFmtId="165" formatCode="[$-C0A]d\-mmm\-yy;@"/>
    <numFmt numFmtId="166" formatCode="[$-C0A]d\ &quot;de&quot;\ mmmm\ &quot;de&quot;\ yyyy;@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53">
    <xf numFmtId="0" fontId="0" fillId="0" borderId="0" xfId="0"/>
    <xf numFmtId="49" fontId="0" fillId="0" borderId="0" xfId="0" applyNumberFormat="1"/>
    <xf numFmtId="44" fontId="0" fillId="0" borderId="0" xfId="0" applyNumberFormat="1"/>
    <xf numFmtId="14" fontId="0" fillId="0" borderId="0" xfId="0" applyNumberFormat="1"/>
    <xf numFmtId="0" fontId="2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0" fontId="0" fillId="0" borderId="0" xfId="0" applyAlignment="1">
      <alignment horizontal="center" vertical="center"/>
    </xf>
    <xf numFmtId="164" fontId="1" fillId="0" borderId="0" xfId="0" applyNumberFormat="1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0" fillId="0" borderId="8" xfId="0" applyBorder="1" applyAlignment="1">
      <alignment horizontal="center"/>
    </xf>
    <xf numFmtId="164" fontId="1" fillId="0" borderId="8" xfId="0" applyNumberFormat="1" applyFont="1" applyBorder="1" applyAlignment="1">
      <alignment horizontal="center"/>
    </xf>
    <xf numFmtId="0" fontId="0" fillId="0" borderId="9" xfId="0" applyBorder="1"/>
    <xf numFmtId="0" fontId="3" fillId="0" borderId="6" xfId="0" applyFont="1" applyBorder="1" applyAlignment="1">
      <alignment horizontal="center" vertical="center"/>
    </xf>
    <xf numFmtId="0" fontId="2" fillId="0" borderId="0" xfId="0" applyFont="1" applyAlignment="1" applyProtection="1">
      <alignment horizontal="center"/>
      <protection locked="0"/>
    </xf>
    <xf numFmtId="14" fontId="2" fillId="0" borderId="0" xfId="0" applyNumberFormat="1" applyFont="1" applyAlignment="1" applyProtection="1">
      <alignment horizontal="center"/>
      <protection locked="0"/>
    </xf>
    <xf numFmtId="49" fontId="2" fillId="0" borderId="0" xfId="0" applyNumberFormat="1" applyFont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1" fontId="2" fillId="0" borderId="0" xfId="0" applyNumberFormat="1" applyFont="1" applyProtection="1">
      <protection locked="0"/>
    </xf>
    <xf numFmtId="166" fontId="2" fillId="0" borderId="0" xfId="0" applyNumberFormat="1" applyFont="1" applyProtection="1">
      <protection locked="0"/>
    </xf>
    <xf numFmtId="165" fontId="2" fillId="0" borderId="0" xfId="0" applyNumberFormat="1" applyFont="1"/>
    <xf numFmtId="0" fontId="12" fillId="2" borderId="0" xfId="0" applyFont="1" applyFill="1" applyAlignment="1">
      <alignment horizontal="center"/>
    </xf>
    <xf numFmtId="49" fontId="13" fillId="2" borderId="0" xfId="0" applyNumberFormat="1" applyFont="1" applyFill="1"/>
    <xf numFmtId="0" fontId="13" fillId="2" borderId="0" xfId="0" applyFont="1" applyFill="1"/>
    <xf numFmtId="44" fontId="13" fillId="2" borderId="0" xfId="0" applyNumberFormat="1" applyFont="1" applyFill="1"/>
    <xf numFmtId="0" fontId="2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0" fontId="3" fillId="0" borderId="3" xfId="0" applyFont="1" applyBorder="1" applyAlignment="1">
      <alignment horizontal="right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8" fillId="0" borderId="0" xfId="0" applyNumberFormat="1" applyFont="1" applyAlignment="1">
      <alignment horizontal="center"/>
    </xf>
    <xf numFmtId="166" fontId="3" fillId="0" borderId="0" xfId="0" applyNumberFormat="1" applyFont="1" applyAlignment="1">
      <alignment horizontal="center"/>
    </xf>
    <xf numFmtId="0" fontId="5" fillId="0" borderId="3" xfId="0" applyFont="1" applyBorder="1" applyAlignment="1">
      <alignment horizontal="right"/>
    </xf>
    <xf numFmtId="0" fontId="5" fillId="0" borderId="0" xfId="0" applyFont="1" applyAlignment="1">
      <alignment horizontal="right"/>
    </xf>
    <xf numFmtId="0" fontId="6" fillId="0" borderId="0" xfId="0" applyFont="1" applyAlignment="1">
      <alignment horizontal="right"/>
    </xf>
    <xf numFmtId="0" fontId="7" fillId="0" borderId="3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6" fillId="0" borderId="3" xfId="0" applyFont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g"/><Relationship Id="rId2" Type="http://schemas.openxmlformats.org/officeDocument/2006/relationships/image" Target="../media/image6.png"/><Relationship Id="rId1" Type="http://schemas.openxmlformats.org/officeDocument/2006/relationships/image" Target="../media/image5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29</xdr:row>
          <xdr:rowOff>9525</xdr:rowOff>
        </xdr:from>
        <xdr:to>
          <xdr:col>1</xdr:col>
          <xdr:colOff>3048000</xdr:colOff>
          <xdr:row>31</xdr:row>
          <xdr:rowOff>57150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1057275</xdr:colOff>
          <xdr:row>20</xdr:row>
          <xdr:rowOff>9525</xdr:rowOff>
        </xdr:from>
        <xdr:to>
          <xdr:col>1</xdr:col>
          <xdr:colOff>3829050</xdr:colOff>
          <xdr:row>22</xdr:row>
          <xdr:rowOff>180975</xdr:rowOff>
        </xdr:to>
        <xdr:sp macro="" textlink="">
          <xdr:nvSpPr>
            <xdr:cNvPr id="1026" name="Label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23</xdr:row>
          <xdr:rowOff>161925</xdr:rowOff>
        </xdr:from>
        <xdr:to>
          <xdr:col>1</xdr:col>
          <xdr:colOff>3028950</xdr:colOff>
          <xdr:row>26</xdr:row>
          <xdr:rowOff>161925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40635</xdr:colOff>
      <xdr:row>1</xdr:row>
      <xdr:rowOff>95249</xdr:rowOff>
    </xdr:from>
    <xdr:to>
      <xdr:col>48</xdr:col>
      <xdr:colOff>114300</xdr:colOff>
      <xdr:row>4</xdr:row>
      <xdr:rowOff>171450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6635" y="285749"/>
          <a:ext cx="1330965" cy="647701"/>
        </a:xfrm>
        <a:prstGeom prst="rect">
          <a:avLst/>
        </a:prstGeom>
      </xdr:spPr>
    </xdr:pic>
    <xdr:clientData/>
  </xdr:twoCellAnchor>
  <xdr:twoCellAnchor editAs="oneCell">
    <xdr:from>
      <xdr:col>1</xdr:col>
      <xdr:colOff>200333</xdr:colOff>
      <xdr:row>1</xdr:row>
      <xdr:rowOff>63564</xdr:rowOff>
    </xdr:from>
    <xdr:to>
      <xdr:col>1</xdr:col>
      <xdr:colOff>733425</xdr:colOff>
      <xdr:row>5</xdr:row>
      <xdr:rowOff>13598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8424"/>
        <a:stretch/>
      </xdr:blipFill>
      <xdr:spPr>
        <a:xfrm>
          <a:off x="962333" y="254064"/>
          <a:ext cx="533092" cy="712034"/>
        </a:xfrm>
        <a:prstGeom prst="rect">
          <a:avLst/>
        </a:prstGeom>
      </xdr:spPr>
    </xdr:pic>
    <xdr:clientData/>
  </xdr:twoCellAnchor>
  <xdr:twoCellAnchor editAs="oneCell">
    <xdr:from>
      <xdr:col>41</xdr:col>
      <xdr:colOff>85725</xdr:colOff>
      <xdr:row>18</xdr:row>
      <xdr:rowOff>152399</xdr:rowOff>
    </xdr:from>
    <xdr:to>
      <xdr:col>48</xdr:col>
      <xdr:colOff>10198</xdr:colOff>
      <xdr:row>19</xdr:row>
      <xdr:rowOff>171450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82175" y="3581399"/>
          <a:ext cx="1391323" cy="20955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123825</xdr:colOff>
          <xdr:row>6</xdr:row>
          <xdr:rowOff>104775</xdr:rowOff>
        </xdr:from>
        <xdr:to>
          <xdr:col>53</xdr:col>
          <xdr:colOff>304800</xdr:colOff>
          <xdr:row>9</xdr:row>
          <xdr:rowOff>266700</xdr:rowOff>
        </xdr:to>
        <xdr:sp macro="" textlink="">
          <xdr:nvSpPr>
            <xdr:cNvPr id="2053" name="CommandButton1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68170</xdr:colOff>
      <xdr:row>17</xdr:row>
      <xdr:rowOff>239607</xdr:rowOff>
    </xdr:from>
    <xdr:ext cx="7114576" cy="937629"/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FF51D196-DDB0-4AAC-983A-01834FA41B3F}"/>
            </a:ext>
          </a:extLst>
        </xdr:cNvPr>
        <xdr:cNvSpPr/>
      </xdr:nvSpPr>
      <xdr:spPr>
        <a:xfrm>
          <a:off x="1806483" y="5025920"/>
          <a:ext cx="7114576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MX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Agosto -</a:t>
          </a:r>
          <a:r>
            <a:rPr lang="es-MX" sz="5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Diciembre 2023</a:t>
          </a:r>
          <a:endParaRPr lang="es-MX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AW32"/>
  <sheetViews>
    <sheetView tabSelected="1" topLeftCell="A10" workbookViewId="0">
      <selection activeCell="B21" sqref="B21"/>
    </sheetView>
  </sheetViews>
  <sheetFormatPr baseColWidth="10" defaultRowHeight="15" x14ac:dyDescent="0.25"/>
  <cols>
    <col min="1" max="1" width="16.140625" style="4" customWidth="1"/>
    <col min="2" max="2" width="60.42578125" style="4" customWidth="1"/>
    <col min="3" max="3" width="22.5703125" style="4" hidden="1" customWidth="1"/>
    <col min="4" max="9" width="2" style="4" hidden="1" customWidth="1"/>
    <col min="10" max="48" width="3" style="4" hidden="1" customWidth="1"/>
    <col min="49" max="49" width="11.42578125" style="4" hidden="1" customWidth="1"/>
    <col min="50" max="50" width="11.42578125" style="4" customWidth="1"/>
    <col min="51" max="16384" width="11.42578125" style="4"/>
  </cols>
  <sheetData>
    <row r="2" s="5" customFormat="1" x14ac:dyDescent="0.25"/>
    <row r="20" spans="1:48" x14ac:dyDescent="0.25">
      <c r="B20" s="35" t="s">
        <v>53</v>
      </c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</row>
    <row r="21" spans="1:48" x14ac:dyDescent="0.25">
      <c r="A21" s="4" t="s">
        <v>15</v>
      </c>
      <c r="B21" s="24"/>
    </row>
    <row r="22" spans="1:48" x14ac:dyDescent="0.25">
      <c r="A22" s="4" t="s">
        <v>23</v>
      </c>
      <c r="B22" s="24"/>
      <c r="C22" s="5" t="str">
        <f>IFERROR(VLOOKUP(B22,Conceptos!B3:D4,3,FALSE),"")</f>
        <v/>
      </c>
    </row>
    <row r="23" spans="1:48" x14ac:dyDescent="0.25">
      <c r="A23" s="4" t="s">
        <v>16</v>
      </c>
      <c r="B23" s="5" t="str">
        <f>IFERROR(VLOOKUP(C22,Conceptos!$A$3:$C$1048576,3,FALSE),"")</f>
        <v/>
      </c>
    </row>
    <row r="24" spans="1:48" x14ac:dyDescent="0.25">
      <c r="A24" s="4" t="s">
        <v>18</v>
      </c>
      <c r="B24" s="25"/>
      <c r="C24" s="27"/>
    </row>
    <row r="25" spans="1:48" x14ac:dyDescent="0.25">
      <c r="A25" s="4" t="s">
        <v>19</v>
      </c>
      <c r="B25" s="24"/>
      <c r="C25" s="29"/>
    </row>
    <row r="26" spans="1:48" x14ac:dyDescent="0.25">
      <c r="A26" s="4" t="s">
        <v>37</v>
      </c>
      <c r="B26" s="24"/>
    </row>
    <row r="27" spans="1:48" x14ac:dyDescent="0.25">
      <c r="A27" s="4" t="s">
        <v>44</v>
      </c>
      <c r="B27" s="26"/>
    </row>
    <row r="28" spans="1:48" x14ac:dyDescent="0.25">
      <c r="A28" s="4" t="s">
        <v>25</v>
      </c>
      <c r="B28" s="24"/>
      <c r="C28" s="4" t="str">
        <f>IFERROR(VLOOKUP(B28,Conceptos!F10:G16,2,FALSE)," ")</f>
        <v xml:space="preserve"> </v>
      </c>
    </row>
    <row r="32" spans="1:48" x14ac:dyDescent="0.25">
      <c r="B32" s="30"/>
    </row>
  </sheetData>
  <sheetProtection algorithmName="SHA-512" hashValue="aLre3MMktXLeJWENwN/oyY1dUhHtb1fAiFuve1j3T8EIje/2miULvop32L5oWccXaHy32C5AJ3UkgNQEETWyRA==" saltValue="lGdkq43XW0kIq7+kHRAOgQ==" spinCount="100000" sheet="1"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1</xdr:col>
                <xdr:colOff>742950</xdr:colOff>
                <xdr:row>23</xdr:row>
                <xdr:rowOff>161925</xdr:rowOff>
              </from>
              <to>
                <xdr:col>1</xdr:col>
                <xdr:colOff>3028950</xdr:colOff>
                <xdr:row>26</xdr:row>
                <xdr:rowOff>161925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6" r:id="rId6" name="Label1">
          <controlPr defaultSize="0" autoLine="0" r:id="rId7">
            <anchor moveWithCells="1">
              <from>
                <xdr:col>0</xdr:col>
                <xdr:colOff>1057275</xdr:colOff>
                <xdr:row>20</xdr:row>
                <xdr:rowOff>9525</xdr:rowOff>
              </from>
              <to>
                <xdr:col>1</xdr:col>
                <xdr:colOff>3829050</xdr:colOff>
                <xdr:row>22</xdr:row>
                <xdr:rowOff>180975</xdr:rowOff>
              </to>
            </anchor>
          </controlPr>
        </control>
      </mc:Choice>
      <mc:Fallback>
        <control shapeId="1026" r:id="rId6" name="Label1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1</xdr:col>
                <xdr:colOff>742950</xdr:colOff>
                <xdr:row>29</xdr:row>
                <xdr:rowOff>9525</xdr:rowOff>
              </from>
              <to>
                <xdr:col>1</xdr:col>
                <xdr:colOff>3048000</xdr:colOff>
                <xdr:row>31</xdr:row>
                <xdr:rowOff>57150</xdr:rowOff>
              </to>
            </anchor>
          </controlPr>
        </control>
      </mc:Choice>
      <mc:Fallback>
        <control shapeId="1025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Conceptos!$F$10:$F$16</xm:f>
          </x14:formula1>
          <xm:sqref>B28</xm:sqref>
        </x14:dataValidation>
        <x14:dataValidation type="list" allowBlank="1" showInputMessage="1" showErrorMessage="1" xr:uid="{00000000-0002-0000-0000-000001000000}">
          <x14:formula1>
            <xm:f>Conceptos!$J$3:$J$4</xm:f>
          </x14:formula1>
          <xm:sqref>B27</xm:sqref>
        </x14:dataValidation>
        <x14:dataValidation type="list" allowBlank="1" showInputMessage="1" showErrorMessage="1" xr:uid="{00000000-0002-0000-0000-000002000000}">
          <x14:formula1>
            <xm:f>OFFSET(Conceptos!B3,0,0,COUNTA(Conceptos!B:B)-1,)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2:AY1414"/>
  <sheetViews>
    <sheetView topLeftCell="A2" zoomScale="80" zoomScaleNormal="80" zoomScalePageLayoutView="60" workbookViewId="0">
      <selection activeCell="C3" sqref="C3:AS4"/>
    </sheetView>
  </sheetViews>
  <sheetFormatPr baseColWidth="10" defaultRowHeight="15" x14ac:dyDescent="0.25"/>
  <cols>
    <col min="3" max="48" width="3.140625" customWidth="1"/>
    <col min="49" max="50" width="2" customWidth="1"/>
  </cols>
  <sheetData>
    <row r="2" spans="2:51" x14ac:dyDescent="0.25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17"/>
    </row>
    <row r="3" spans="2:51" ht="15" customHeight="1" x14ac:dyDescent="0.25">
      <c r="B3" s="10"/>
      <c r="C3" s="36" t="s">
        <v>41</v>
      </c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X3" s="18"/>
      <c r="AY3" s="10"/>
    </row>
    <row r="4" spans="2:51" ht="15" customHeight="1" x14ac:dyDescent="0.25">
      <c r="B4" s="10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X4" s="18"/>
      <c r="AY4" s="10"/>
    </row>
    <row r="5" spans="2:51" x14ac:dyDescent="0.25">
      <c r="B5" s="10"/>
      <c r="AX5" s="18"/>
      <c r="AY5" s="10"/>
    </row>
    <row r="6" spans="2:51" x14ac:dyDescent="0.25">
      <c r="B6" s="43" t="s">
        <v>17</v>
      </c>
      <c r="C6" s="44"/>
      <c r="D6" s="44"/>
      <c r="E6" s="44"/>
      <c r="F6" s="44"/>
      <c r="AX6" s="18"/>
      <c r="AY6" s="10"/>
    </row>
    <row r="7" spans="2:51" x14ac:dyDescent="0.25">
      <c r="B7" s="43"/>
      <c r="C7" s="44"/>
      <c r="D7" s="44"/>
      <c r="E7" s="44"/>
      <c r="F7" s="44"/>
      <c r="AX7" s="18"/>
      <c r="AY7" s="10"/>
    </row>
    <row r="8" spans="2:51" ht="27" customHeight="1" x14ac:dyDescent="0.25">
      <c r="B8" s="11" t="s">
        <v>39</v>
      </c>
      <c r="C8" s="23" t="str">
        <f>IF(Linea!C20="","",Linea!C20)</f>
        <v/>
      </c>
      <c r="D8" s="23" t="str">
        <f>IF(Linea!D20="","",Linea!D20)</f>
        <v/>
      </c>
      <c r="E8" s="23" t="str">
        <f>IF(Linea!E20="","",Linea!E20)</f>
        <v/>
      </c>
      <c r="F8" s="23" t="str">
        <f>IF(Linea!F20="","",Linea!F20)</f>
        <v/>
      </c>
      <c r="G8" s="23" t="str">
        <f>IF(Linea!G20="","",Linea!G20)</f>
        <v/>
      </c>
      <c r="H8" s="23" t="str">
        <f>IF(Linea!H20="","",Linea!H20)</f>
        <v/>
      </c>
      <c r="I8" s="23" t="str">
        <f>IF(Linea!I20="","",Linea!I20)</f>
        <v/>
      </c>
      <c r="J8" s="23" t="str">
        <f>IF(Linea!J20="","",Linea!J20)</f>
        <v/>
      </c>
      <c r="K8" s="23" t="str">
        <f>IF(Linea!K20="","",Linea!K20)</f>
        <v/>
      </c>
      <c r="L8" s="23" t="str">
        <f>IF(Linea!L20="","",Linea!L20)</f>
        <v/>
      </c>
      <c r="M8" s="23" t="str">
        <f>IF(Linea!M20="","",Linea!M20)</f>
        <v/>
      </c>
      <c r="N8" s="23" t="str">
        <f>IF(Linea!N20="","",Linea!N20)</f>
        <v/>
      </c>
      <c r="O8" s="23" t="str">
        <f>IF(Linea!O20="","",Linea!O20)</f>
        <v/>
      </c>
      <c r="P8" s="23" t="str">
        <f>IF(Linea!P20="","",Linea!P20)</f>
        <v/>
      </c>
      <c r="Q8" s="23" t="str">
        <f>IF(Linea!Q20="","",Linea!Q20)</f>
        <v/>
      </c>
      <c r="R8" s="23" t="str">
        <f>IF(Linea!R20="","",Linea!R20)</f>
        <v/>
      </c>
      <c r="S8" s="23" t="str">
        <f>IF(Linea!S20="","",Linea!S20)</f>
        <v/>
      </c>
      <c r="T8" s="23" t="str">
        <f>IF(Linea!T20="","",Linea!T20)</f>
        <v/>
      </c>
      <c r="U8" s="23" t="str">
        <f>IF(Linea!U20="","",Linea!U20)</f>
        <v/>
      </c>
      <c r="V8" s="23" t="str">
        <f>IF(Linea!V20="","",Linea!V20)</f>
        <v/>
      </c>
      <c r="W8" s="23" t="str">
        <f>IF(Linea!W20="","",Linea!W20)</f>
        <v/>
      </c>
      <c r="X8" s="23" t="str">
        <f>IF(Linea!X20="","",Linea!X20)</f>
        <v/>
      </c>
      <c r="Y8" s="23" t="str">
        <f>IF(Linea!Y20="","",Linea!Y20)</f>
        <v/>
      </c>
      <c r="Z8" s="23" t="str">
        <f>IF(Linea!Z20="","",Linea!Z20)</f>
        <v/>
      </c>
      <c r="AA8" s="23" t="str">
        <f>IF(Linea!AA20="","",Linea!AA20)</f>
        <v/>
      </c>
      <c r="AB8" s="23" t="str">
        <f>IF(Linea!AB20="","",Linea!AB20)</f>
        <v/>
      </c>
      <c r="AC8" s="23" t="str">
        <f>IF(Linea!AC20="","",Linea!AC20)</f>
        <v/>
      </c>
      <c r="AD8" s="23" t="str">
        <f>IF(Linea!AD20="","",Linea!AD20)</f>
        <v/>
      </c>
      <c r="AE8" s="23" t="str">
        <f>IF(Linea!AE20="","",Linea!AE20)</f>
        <v/>
      </c>
      <c r="AF8" s="23" t="str">
        <f>IF(Linea!AF20="","",Linea!AF20)</f>
        <v/>
      </c>
      <c r="AG8" s="23" t="str">
        <f>IF(Linea!AG20="","",Linea!AG20)</f>
        <v/>
      </c>
      <c r="AH8" s="23" t="str">
        <f>IF(Linea!AH20="","",Linea!AH20)</f>
        <v/>
      </c>
      <c r="AI8" s="23" t="str">
        <f>IF(Linea!AI20="","",Linea!AI20)</f>
        <v/>
      </c>
      <c r="AJ8" s="23" t="str">
        <f>IF(Linea!AJ20="","",Linea!AJ20)</f>
        <v/>
      </c>
      <c r="AK8" s="23" t="str">
        <f>IF(Linea!AK20="","",Linea!AK20)</f>
        <v/>
      </c>
      <c r="AL8" s="23" t="str">
        <f>IF(Linea!AL20="","",Linea!AL20)</f>
        <v/>
      </c>
      <c r="AM8" s="23" t="str">
        <f>IF(Linea!AM20="","",Linea!AM20)</f>
        <v/>
      </c>
      <c r="AN8" s="23" t="str">
        <f>IF(Linea!AN20="","",Linea!AN20)</f>
        <v/>
      </c>
      <c r="AO8" s="23" t="str">
        <f>IF(Linea!AO20="","",Linea!AO20)</f>
        <v/>
      </c>
      <c r="AP8" s="23" t="str">
        <f>IF(Linea!AP20="","",Linea!AP20)</f>
        <v/>
      </c>
      <c r="AQ8" s="23" t="str">
        <f>IF(Linea!AQ20="","",Linea!AQ20)</f>
        <v/>
      </c>
      <c r="AR8" s="23" t="str">
        <f>IF(Linea!AR20="","",Linea!AR20)</f>
        <v/>
      </c>
      <c r="AS8" s="23" t="str">
        <f>IF(Linea!AS20="","",Linea!AS20)</f>
        <v/>
      </c>
      <c r="AT8" s="23" t="str">
        <f>IF(Linea!AT20="","",Linea!AT20)</f>
        <v/>
      </c>
      <c r="AU8" s="23" t="str">
        <f>IF(Linea!AU20="","",Linea!AU20)</f>
        <v/>
      </c>
      <c r="AV8" s="23" t="str">
        <f>IF(Linea!AV20="","",Linea!AV20)</f>
        <v/>
      </c>
      <c r="AW8" s="15"/>
      <c r="AX8" s="19"/>
      <c r="AY8" s="10"/>
    </row>
    <row r="9" spans="2:51" ht="27" customHeight="1" x14ac:dyDescent="0.25">
      <c r="B9" s="10"/>
      <c r="AX9" s="18"/>
      <c r="AY9" s="10"/>
    </row>
    <row r="10" spans="2:51" ht="27" customHeight="1" x14ac:dyDescent="0.45">
      <c r="B10" s="40" t="s">
        <v>38</v>
      </c>
      <c r="C10" s="41"/>
      <c r="D10" s="41"/>
      <c r="E10" s="41"/>
      <c r="F10" s="41"/>
      <c r="G10" s="41"/>
      <c r="H10" s="41"/>
      <c r="I10" s="41"/>
      <c r="J10" s="41"/>
      <c r="K10" s="37" t="str">
        <f>UPPER(Linea!$B$21)</f>
        <v/>
      </c>
      <c r="L10" s="37"/>
      <c r="M10" s="37"/>
      <c r="N10" s="37"/>
      <c r="O10" s="37"/>
      <c r="P10" s="37"/>
      <c r="Q10" s="37"/>
      <c r="AG10" s="49" t="s">
        <v>24</v>
      </c>
      <c r="AH10" s="49"/>
      <c r="AI10" s="49"/>
      <c r="AJ10" s="49"/>
      <c r="AK10" s="49"/>
      <c r="AL10" s="49"/>
      <c r="AM10" s="49"/>
      <c r="AN10" s="42" t="str">
        <f>IF(Linea!B27="","",Linea!B27)</f>
        <v/>
      </c>
      <c r="AO10" s="42"/>
      <c r="AP10" s="42"/>
      <c r="AQ10" s="42"/>
      <c r="AR10" s="42"/>
      <c r="AS10" s="42"/>
      <c r="AT10" s="42"/>
      <c r="AU10" s="42"/>
      <c r="AV10" s="42"/>
      <c r="AW10" s="6"/>
      <c r="AX10" s="20"/>
      <c r="AY10" s="10"/>
    </row>
    <row r="11" spans="2:51" ht="27" customHeight="1" x14ac:dyDescent="0.25">
      <c r="B11" s="10"/>
      <c r="AX11" s="18"/>
      <c r="AY11" s="10"/>
    </row>
    <row r="12" spans="2:51" ht="27" customHeight="1" x14ac:dyDescent="0.35">
      <c r="B12" s="50" t="s">
        <v>20</v>
      </c>
      <c r="C12" s="51"/>
      <c r="D12" s="51"/>
      <c r="E12" s="51"/>
      <c r="F12" s="37" t="str">
        <f>UPPER(CONCATENATE(Linea!$B$26," ",Linea!$B$24," ",Linea!$B$25))</f>
        <v xml:space="preserve">  </v>
      </c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X12" s="18"/>
      <c r="AY12" s="10"/>
    </row>
    <row r="13" spans="2:51" ht="27" customHeight="1" x14ac:dyDescent="0.25">
      <c r="B13" s="10"/>
      <c r="AX13" s="18"/>
      <c r="AY13" s="10"/>
    </row>
    <row r="14" spans="2:51" ht="27" customHeight="1" x14ac:dyDescent="0.45">
      <c r="B14" s="52" t="s">
        <v>21</v>
      </c>
      <c r="C14" s="49"/>
      <c r="D14" s="49"/>
      <c r="E14" s="49"/>
      <c r="F14" s="39" t="str">
        <f>UPPER(Linea!$B$22)</f>
        <v/>
      </c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J14" s="38" t="s">
        <v>36</v>
      </c>
      <c r="AK14" s="38"/>
      <c r="AL14" s="38"/>
      <c r="AM14" s="38"/>
      <c r="AN14" s="45" t="str">
        <f>IF(Linea!C24="","",Linea!C24)</f>
        <v/>
      </c>
      <c r="AO14" s="45"/>
      <c r="AP14" s="45"/>
      <c r="AQ14" s="45"/>
      <c r="AR14" s="45"/>
      <c r="AS14" s="45"/>
      <c r="AT14" s="45"/>
      <c r="AU14" s="45"/>
      <c r="AV14" s="45"/>
      <c r="AW14" s="16"/>
      <c r="AX14" s="21"/>
      <c r="AY14" s="10"/>
    </row>
    <row r="15" spans="2:51" ht="27" customHeight="1" x14ac:dyDescent="0.25">
      <c r="B15" s="10"/>
      <c r="AX15" s="18"/>
      <c r="AY15" s="10"/>
    </row>
    <row r="16" spans="2:51" ht="27" customHeight="1" x14ac:dyDescent="0.4">
      <c r="B16" s="47" t="s">
        <v>26</v>
      </c>
      <c r="C16" s="48"/>
      <c r="D16" s="48"/>
      <c r="E16" s="48"/>
      <c r="F16" s="42" t="str">
        <f>UPPER(Linea!$B$28)</f>
        <v/>
      </c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X16" s="18"/>
      <c r="AY16" s="10"/>
    </row>
    <row r="17" spans="2:51" ht="27" customHeight="1" x14ac:dyDescent="0.25">
      <c r="B17" s="12"/>
      <c r="C17" s="7"/>
      <c r="D17" s="7"/>
      <c r="E17" s="7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X17" s="18"/>
      <c r="AY17" s="10"/>
    </row>
    <row r="18" spans="2:51" ht="27" customHeight="1" x14ac:dyDescent="0.35">
      <c r="B18" s="40" t="s">
        <v>40</v>
      </c>
      <c r="C18" s="41"/>
      <c r="D18" s="41"/>
      <c r="E18" s="41"/>
      <c r="F18" s="41"/>
      <c r="G18" s="41"/>
      <c r="H18" s="41"/>
      <c r="I18" s="41"/>
      <c r="J18" s="46" t="str">
        <f>IF(Linea!C25="","",Linea!C25)</f>
        <v/>
      </c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X18" s="18"/>
      <c r="AY18" s="10"/>
    </row>
    <row r="19" spans="2:51" x14ac:dyDescent="0.25">
      <c r="B19" s="12"/>
      <c r="C19" s="7"/>
      <c r="D19" s="7"/>
      <c r="E19" s="7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X19" s="18"/>
      <c r="AY19" s="10"/>
    </row>
    <row r="20" spans="2:51" x14ac:dyDescent="0.25">
      <c r="B20" s="12"/>
      <c r="C20" s="7"/>
      <c r="D20" s="7"/>
      <c r="E20" s="7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X20" s="18"/>
      <c r="AY20" s="10"/>
    </row>
    <row r="21" spans="2:51" x14ac:dyDescent="0.25">
      <c r="B21" s="12"/>
      <c r="C21" s="7"/>
      <c r="D21" s="7"/>
      <c r="E21" s="7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X21" s="18"/>
      <c r="AY21" s="10"/>
    </row>
    <row r="22" spans="2:51" x14ac:dyDescent="0.25">
      <c r="B22" s="10"/>
      <c r="AX22" s="18"/>
      <c r="AY22" s="10"/>
    </row>
    <row r="23" spans="2:51" x14ac:dyDescent="0.25"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22"/>
      <c r="AY23" s="10"/>
    </row>
    <row r="24" spans="2:51" x14ac:dyDescent="0.25">
      <c r="AX24" s="9"/>
    </row>
    <row r="1414" spans="40:40" x14ac:dyDescent="0.25">
      <c r="AN1414">
        <v>50</v>
      </c>
    </row>
  </sheetData>
  <sheetProtection algorithmName="SHA-512" hashValue="k5YkvLyx0TFgVO8BTLkgCF6dVGmGYNFO9ukmUlqa4bVU84qFoZ7lNuVC2HZwzwyhHgjxnxnqWvdLOcYyYW92cw==" saltValue="6NmyQno6Qgp9QYfSBWbK/w==" spinCount="100000" sheet="1" scenarios="1" selectLockedCells="1"/>
  <mergeCells count="16">
    <mergeCell ref="J18:U18"/>
    <mergeCell ref="B18:I18"/>
    <mergeCell ref="B16:E16"/>
    <mergeCell ref="F16:AG16"/>
    <mergeCell ref="AG10:AM10"/>
    <mergeCell ref="B12:E12"/>
    <mergeCell ref="B14:E14"/>
    <mergeCell ref="K10:Q10"/>
    <mergeCell ref="C3:AS4"/>
    <mergeCell ref="F12:AT12"/>
    <mergeCell ref="AJ14:AM14"/>
    <mergeCell ref="F14:AH14"/>
    <mergeCell ref="B10:J10"/>
    <mergeCell ref="AN10:AV10"/>
    <mergeCell ref="B6:F7"/>
    <mergeCell ref="AN14:AV14"/>
  </mergeCells>
  <pageMargins left="0.7" right="0.7" top="0.75" bottom="0.75" header="0.3" footer="0.3"/>
  <pageSetup paperSize="9" scale="49" orientation="portrait" r:id="rId1"/>
  <colBreaks count="2" manualBreakCount="2">
    <brk id="50" min="1" max="22" man="1"/>
    <brk id="55" min="1" max="22" man="1"/>
  </colBreaks>
  <drawing r:id="rId2"/>
  <legacyDrawing r:id="rId3"/>
  <controls>
    <mc:AlternateContent xmlns:mc="http://schemas.openxmlformats.org/markup-compatibility/2006">
      <mc:Choice Requires="x14">
        <control shapeId="2053" r:id="rId4" name="CommandButton1">
          <controlPr defaultSize="0" autoLine="0" autoPict="0" r:id="rId5">
            <anchor moveWithCells="1">
              <from>
                <xdr:col>50</xdr:col>
                <xdr:colOff>123825</xdr:colOff>
                <xdr:row>6</xdr:row>
                <xdr:rowOff>104775</xdr:rowOff>
              </from>
              <to>
                <xdr:col>53</xdr:col>
                <xdr:colOff>304800</xdr:colOff>
                <xdr:row>9</xdr:row>
                <xdr:rowOff>266700</xdr:rowOff>
              </to>
            </anchor>
          </controlPr>
        </control>
      </mc:Choice>
      <mc:Fallback>
        <control shapeId="2053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2:J53"/>
  <sheetViews>
    <sheetView workbookViewId="0"/>
  </sheetViews>
  <sheetFormatPr baseColWidth="10" defaultRowHeight="15" x14ac:dyDescent="0.25"/>
  <cols>
    <col min="1" max="1" width="14" style="33" bestFit="1" customWidth="1"/>
    <col min="2" max="2" width="69.5703125" style="33" customWidth="1"/>
    <col min="3" max="3" width="11.42578125" style="33"/>
    <col min="4" max="4" width="13.85546875" style="33" customWidth="1"/>
    <col min="5" max="5" width="11.42578125" style="33"/>
    <col min="6" max="6" width="31.85546875" style="33" bestFit="1" customWidth="1"/>
    <col min="7" max="16384" width="11.42578125" style="33"/>
  </cols>
  <sheetData>
    <row r="2" spans="1:10" x14ac:dyDescent="0.25">
      <c r="A2" s="31" t="s">
        <v>12</v>
      </c>
      <c r="B2" s="31" t="s">
        <v>13</v>
      </c>
      <c r="C2" s="31" t="s">
        <v>14</v>
      </c>
      <c r="D2" s="31" t="s">
        <v>22</v>
      </c>
      <c r="E2" s="32" t="s">
        <v>6</v>
      </c>
      <c r="F2" s="33" t="s">
        <v>11</v>
      </c>
      <c r="J2" s="33" t="s">
        <v>28</v>
      </c>
    </row>
    <row r="3" spans="1:10" x14ac:dyDescent="0.25">
      <c r="A3" s="32" t="s">
        <v>42</v>
      </c>
      <c r="B3" s="33" t="s">
        <v>50</v>
      </c>
      <c r="C3" s="34">
        <v>2800</v>
      </c>
      <c r="D3" s="32" t="str">
        <f t="shared" ref="D3:D4" si="0">A3</f>
        <v>0000000000502</v>
      </c>
      <c r="E3" s="32"/>
      <c r="J3" s="32" t="s">
        <v>6</v>
      </c>
    </row>
    <row r="4" spans="1:10" x14ac:dyDescent="0.25">
      <c r="A4" s="32" t="s">
        <v>43</v>
      </c>
      <c r="B4" s="33" t="s">
        <v>51</v>
      </c>
      <c r="C4" s="34">
        <v>800</v>
      </c>
      <c r="D4" s="32" t="str">
        <f t="shared" si="0"/>
        <v>0000000000503</v>
      </c>
      <c r="E4" s="32" t="s">
        <v>0</v>
      </c>
      <c r="F4" s="33" t="s">
        <v>5</v>
      </c>
      <c r="J4" s="32" t="s">
        <v>0</v>
      </c>
    </row>
    <row r="5" spans="1:10" x14ac:dyDescent="0.25">
      <c r="E5" s="32" t="s">
        <v>1</v>
      </c>
      <c r="F5" s="33" t="s">
        <v>7</v>
      </c>
      <c r="J5" s="32" t="s">
        <v>1</v>
      </c>
    </row>
    <row r="6" spans="1:10" x14ac:dyDescent="0.25">
      <c r="E6" s="32" t="s">
        <v>2</v>
      </c>
      <c r="F6" s="33" t="s">
        <v>8</v>
      </c>
      <c r="J6" s="32" t="s">
        <v>2</v>
      </c>
    </row>
    <row r="7" spans="1:10" x14ac:dyDescent="0.25">
      <c r="E7" s="32" t="s">
        <v>3</v>
      </c>
      <c r="F7" s="33" t="s">
        <v>9</v>
      </c>
      <c r="J7" s="32" t="s">
        <v>3</v>
      </c>
    </row>
    <row r="8" spans="1:10" x14ac:dyDescent="0.25">
      <c r="E8" s="32" t="s">
        <v>4</v>
      </c>
      <c r="F8" s="33" t="s">
        <v>10</v>
      </c>
      <c r="J8" s="32" t="s">
        <v>4</v>
      </c>
    </row>
    <row r="9" spans="1:10" x14ac:dyDescent="0.25">
      <c r="E9" s="32" t="s">
        <v>29</v>
      </c>
      <c r="F9" s="33" t="s">
        <v>52</v>
      </c>
      <c r="J9" s="32" t="s">
        <v>29</v>
      </c>
    </row>
    <row r="10" spans="1:10" x14ac:dyDescent="0.25">
      <c r="F10" s="33" t="s">
        <v>54</v>
      </c>
      <c r="G10" s="32" t="s">
        <v>0</v>
      </c>
      <c r="J10" s="32" t="s">
        <v>30</v>
      </c>
    </row>
    <row r="11" spans="1:10" x14ac:dyDescent="0.25">
      <c r="F11" s="33" t="s">
        <v>27</v>
      </c>
      <c r="G11" s="32" t="s">
        <v>2</v>
      </c>
      <c r="J11" s="32" t="s">
        <v>31</v>
      </c>
    </row>
    <row r="12" spans="1:10" x14ac:dyDescent="0.25">
      <c r="F12" s="33" t="s">
        <v>55</v>
      </c>
      <c r="G12" s="32" t="s">
        <v>1</v>
      </c>
      <c r="J12" s="32" t="s">
        <v>32</v>
      </c>
    </row>
    <row r="13" spans="1:10" x14ac:dyDescent="0.25">
      <c r="F13" s="33" t="s">
        <v>45</v>
      </c>
      <c r="G13" s="32" t="s">
        <v>3</v>
      </c>
      <c r="J13" s="32" t="s">
        <v>33</v>
      </c>
    </row>
    <row r="14" spans="1:10" x14ac:dyDescent="0.25">
      <c r="F14" s="33" t="s">
        <v>46</v>
      </c>
      <c r="G14" s="32" t="s">
        <v>4</v>
      </c>
      <c r="J14" s="32" t="s">
        <v>34</v>
      </c>
    </row>
    <row r="15" spans="1:10" x14ac:dyDescent="0.25">
      <c r="F15" s="33" t="s">
        <v>49</v>
      </c>
      <c r="G15" s="32" t="s">
        <v>29</v>
      </c>
      <c r="J15" s="32" t="s">
        <v>35</v>
      </c>
    </row>
    <row r="16" spans="1:10" x14ac:dyDescent="0.25">
      <c r="F16" s="33" t="s">
        <v>56</v>
      </c>
      <c r="G16" s="32" t="s">
        <v>30</v>
      </c>
      <c r="J16" s="33" t="s">
        <v>47</v>
      </c>
    </row>
    <row r="17" spans="10:10" x14ac:dyDescent="0.25">
      <c r="J17" s="33" t="s">
        <v>48</v>
      </c>
    </row>
    <row r="45" spans="8:8" x14ac:dyDescent="0.25">
      <c r="H45" s="33">
        <f t="shared" ref="H45" si="1">LEN(A4)</f>
        <v>13</v>
      </c>
    </row>
    <row r="46" spans="8:8" x14ac:dyDescent="0.25">
      <c r="H46" s="33">
        <f>LEN(A3)</f>
        <v>13</v>
      </c>
    </row>
    <row r="53" spans="8:8" x14ac:dyDescent="0.25">
      <c r="H53" s="33">
        <f>LEN(A4)</f>
        <v>13</v>
      </c>
    </row>
  </sheetData>
  <sheetProtection algorithmName="SHA-512" hashValue="FX3UMRbcQG6DZPMaMR8ppoxv/TcDOQcwxJSPeZlAwLXoDUy+732f7bWxE2wuiebd7lJcmKIvxteoUfzkhwfTtw==" saltValue="BU/fdsAoqjok+PqUn+ctHg==" spinCount="100000" sheet="1" selectLockedCells="1"/>
  <sortState xmlns:xlrd2="http://schemas.microsoft.com/office/spreadsheetml/2017/richdata2" ref="A3:D39">
    <sortCondition ref="A3:A39"/>
  </sortState>
  <phoneticPr fontId="1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D2:AH11"/>
  <sheetViews>
    <sheetView workbookViewId="0">
      <selection activeCell="AD12" sqref="AD12"/>
    </sheetView>
  </sheetViews>
  <sheetFormatPr baseColWidth="10" defaultRowHeight="15" x14ac:dyDescent="0.25"/>
  <cols>
    <col min="1" max="28" width="2" customWidth="1"/>
    <col min="31" max="31" width="23.7109375" customWidth="1"/>
    <col min="33" max="33" width="10" customWidth="1"/>
  </cols>
  <sheetData>
    <row r="2" spans="30:34" x14ac:dyDescent="0.25">
      <c r="AD2" s="1"/>
      <c r="AF2" s="2"/>
      <c r="AH2" s="3"/>
    </row>
    <row r="3" spans="30:34" x14ac:dyDescent="0.25">
      <c r="AD3" s="1"/>
      <c r="AF3" s="2"/>
      <c r="AH3" s="3"/>
    </row>
    <row r="4" spans="30:34" x14ac:dyDescent="0.25">
      <c r="AD4" s="1"/>
      <c r="AF4" s="2"/>
      <c r="AH4" s="3"/>
    </row>
    <row r="5" spans="30:34" x14ac:dyDescent="0.25">
      <c r="AD5" s="1"/>
      <c r="AF5" s="2"/>
      <c r="AH5" s="3"/>
    </row>
    <row r="6" spans="30:34" x14ac:dyDescent="0.25">
      <c r="AD6" s="1"/>
      <c r="AF6" s="2"/>
      <c r="AH6" s="3"/>
    </row>
    <row r="7" spans="30:34" x14ac:dyDescent="0.25">
      <c r="AD7" s="1"/>
      <c r="AF7" s="2"/>
      <c r="AH7" s="3"/>
    </row>
    <row r="8" spans="30:34" x14ac:dyDescent="0.25">
      <c r="AD8" s="1"/>
      <c r="AF8" s="2"/>
      <c r="AH8" s="3"/>
    </row>
    <row r="9" spans="30:34" x14ac:dyDescent="0.25">
      <c r="AD9" s="1"/>
      <c r="AF9" s="2"/>
      <c r="AH9" s="3"/>
    </row>
    <row r="10" spans="30:34" x14ac:dyDescent="0.25">
      <c r="AD10" s="1"/>
      <c r="AF10" s="2"/>
      <c r="AH10" s="3"/>
    </row>
    <row r="11" spans="30:34" x14ac:dyDescent="0.25">
      <c r="AD11" s="1"/>
      <c r="AF11" s="2"/>
      <c r="AH11" s="3"/>
    </row>
  </sheetData>
  <sheetProtection algorithmName="SHA-512" hashValue="MB18sZHBF8ERa/f1JzTIadoIRVzrLFeC1+QXsSifQMcZXoXil/pUlqwUhqs+KolzH1M02QHWUx7R9ncT0INsZA==" saltValue="uh83JdS+kmjZyhsCc1lBfA==" spinCount="100000" sheet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Linea</vt:lpstr>
      <vt:lpstr>formato para imprimir</vt:lpstr>
      <vt:lpstr>Conceptos</vt:lpstr>
      <vt:lpstr>Ejemplos</vt:lpstr>
      <vt:lpstr>'formato para imprimir'!Área_de_impresión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Norma</dc:creator>
  <cp:lastModifiedBy>Usuario de Windows</cp:lastModifiedBy>
  <cp:lastPrinted>2018-07-09T23:47:20Z</cp:lastPrinted>
  <dcterms:created xsi:type="dcterms:W3CDTF">2018-05-29T15:47:45Z</dcterms:created>
  <dcterms:modified xsi:type="dcterms:W3CDTF">2023-03-23T16:59:51Z</dcterms:modified>
</cp:coreProperties>
</file>