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gamii\Downloads\"/>
    </mc:Choice>
  </mc:AlternateContent>
  <xr:revisionPtr revIDLastSave="0" documentId="13_ncr:1_{42FFB6D5-56DC-4E3A-8F15-42F0B84F7F25}" xr6:coauthVersionLast="47" xr6:coauthVersionMax="47" xr10:uidLastSave="{00000000-0000-0000-0000-000000000000}"/>
  <workbookProtection workbookAlgorithmName="SHA-512" workbookHashValue="pNUFF8EVjl3yp0w+lhBd4JfL15SmE8/D+vcPrebDmF4Y199taYXTxHelpnF6DD1N42Tl8IH1dIXhENkYM2oSyQ==" workbookSaltValue="j5rPKOdM2Pg+FWGLvHGUQg==" workbookSpinCount="100000" lockStructure="1"/>
  <bookViews>
    <workbookView xWindow="-120" yWindow="-120" windowWidth="29040" windowHeight="17640" xr2:uid="{00000000-000D-0000-FFFF-FFFF00000000}"/>
  </bookViews>
  <sheets>
    <sheet name="Linea" sheetId="1" r:id="rId1"/>
    <sheet name="formato para imprimir" sheetId="4" r:id="rId2"/>
    <sheet name="Conceptos" sheetId="2" r:id="rId3"/>
    <sheet name="Ejemplos" sheetId="3" r:id="rId4"/>
  </sheets>
  <definedNames>
    <definedName name="_xlnm._FilterDatabase" localSheetId="2" hidden="1">Conceptos!$A$2:$D$59</definedName>
    <definedName name="_xlnm.Print_Area" localSheetId="1">'formato para imprimir'!$B$2:$AX$23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2" l="1"/>
  <c r="H31" i="2"/>
  <c r="H32" i="2"/>
  <c r="D56" i="2" l="1"/>
  <c r="D33" i="2"/>
  <c r="D21" i="2"/>
  <c r="D61" i="2" l="1"/>
  <c r="D62" i="2"/>
  <c r="D63" i="2"/>
  <c r="D64" i="2"/>
  <c r="D65" i="2"/>
  <c r="D66" i="2"/>
  <c r="D67" i="2"/>
  <c r="C28" i="1" l="1"/>
  <c r="D60" i="2"/>
  <c r="D17" i="2"/>
  <c r="D18" i="2"/>
  <c r="D19" i="2"/>
  <c r="D38" i="2"/>
  <c r="D54" i="2" l="1"/>
  <c r="D55" i="2"/>
  <c r="D50" i="2"/>
  <c r="D51" i="2"/>
  <c r="D52" i="2"/>
  <c r="D53" i="2"/>
  <c r="D20" i="2" l="1"/>
  <c r="D49" i="2" l="1"/>
  <c r="D46" i="2"/>
  <c r="D47" i="2"/>
  <c r="D48" i="2"/>
  <c r="D37" i="2" l="1"/>
  <c r="AN14" i="4" l="1"/>
  <c r="H41" i="2" l="1"/>
  <c r="H45" i="2"/>
  <c r="D45" i="2"/>
  <c r="D16" i="2" l="1"/>
  <c r="H3" i="2" l="1"/>
  <c r="D3" i="2" l="1"/>
  <c r="D8" i="4" l="1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C8" i="4"/>
  <c r="AN10" i="4"/>
  <c r="J18" i="4"/>
  <c r="K10" i="4" l="1"/>
  <c r="F12" i="4"/>
  <c r="F14" i="4"/>
  <c r="F16" i="4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5" i="2"/>
  <c r="H36" i="2"/>
  <c r="H37" i="2"/>
  <c r="H38" i="2"/>
  <c r="H39" i="2"/>
  <c r="H40" i="2"/>
  <c r="H46" i="2"/>
  <c r="H53" i="2"/>
  <c r="D5" i="2" l="1"/>
  <c r="C22" i="1" s="1"/>
  <c r="B23" i="1" s="1"/>
  <c r="D6" i="2"/>
  <c r="D7" i="2"/>
  <c r="D8" i="2"/>
  <c r="D9" i="2"/>
  <c r="D10" i="2"/>
  <c r="D11" i="2"/>
  <c r="D12" i="2"/>
  <c r="D13" i="2"/>
  <c r="D14" i="2"/>
  <c r="D15" i="2"/>
  <c r="D22" i="2"/>
  <c r="D23" i="2"/>
  <c r="D24" i="2"/>
  <c r="D25" i="2"/>
  <c r="D26" i="2"/>
  <c r="D27" i="2"/>
  <c r="D28" i="2"/>
  <c r="D29" i="2"/>
  <c r="D30" i="2"/>
  <c r="D31" i="2"/>
  <c r="D32" i="2"/>
  <c r="D34" i="2"/>
  <c r="D35" i="2"/>
  <c r="D36" i="2"/>
  <c r="D39" i="2"/>
  <c r="D40" i="2"/>
  <c r="D41" i="2"/>
  <c r="D42" i="2"/>
  <c r="D43" i="2"/>
  <c r="D44" i="2"/>
  <c r="D57" i="2"/>
  <c r="D58" i="2"/>
  <c r="D59" i="2"/>
  <c r="D4" i="2"/>
</calcChain>
</file>

<file path=xl/sharedStrings.xml><?xml version="1.0" encoding="utf-8"?>
<sst xmlns="http://schemas.openxmlformats.org/spreadsheetml/2006/main" count="197" uniqueCount="181">
  <si>
    <t>01</t>
  </si>
  <si>
    <t>02</t>
  </si>
  <si>
    <t>03</t>
  </si>
  <si>
    <t>04</t>
  </si>
  <si>
    <t>05</t>
  </si>
  <si>
    <t>Servicios Escolares</t>
  </si>
  <si>
    <t>00</t>
  </si>
  <si>
    <t>División de Estudios Profesionales</t>
  </si>
  <si>
    <t>Biblioteca</t>
  </si>
  <si>
    <t>Vinculación</t>
  </si>
  <si>
    <t>Desarrollo Académico</t>
  </si>
  <si>
    <t>General (Todos)</t>
  </si>
  <si>
    <t>Certificado Parcial o Total</t>
  </si>
  <si>
    <t>Diploma por salida lateral</t>
  </si>
  <si>
    <t>Constancia de avance</t>
  </si>
  <si>
    <t>Constancia de liberación de 5 créditos</t>
  </si>
  <si>
    <t>Kardex</t>
  </si>
  <si>
    <t>Constancia de Estudios</t>
  </si>
  <si>
    <t>Constancia de Seguro Social</t>
  </si>
  <si>
    <t>Carta de Translados</t>
  </si>
  <si>
    <t>Constancia Trámite de Título</t>
  </si>
  <si>
    <t>Carta de Terminación de Estudios</t>
  </si>
  <si>
    <t>Duplicado de Credencial</t>
  </si>
  <si>
    <t>Re-expedición de documento oficial</t>
  </si>
  <si>
    <t>Re-expedición de NIP para el SII</t>
  </si>
  <si>
    <t>Programa de Estudios por materia, impreso y Sellado</t>
  </si>
  <si>
    <t>Programas de Estudios digital y oficio de Resolución</t>
  </si>
  <si>
    <t>Retícula Sellada</t>
  </si>
  <si>
    <t>Análisis Académico de Resolución de equivalencia de Estudios (por materia)</t>
  </si>
  <si>
    <t>Pago de derechos, resolución de equivalencia a la SEP</t>
  </si>
  <si>
    <t>Dictámen técnico de Resolución de Equivalencia</t>
  </si>
  <si>
    <t>Aportación Bibliotecaria por día de atraso</t>
  </si>
  <si>
    <t>Examen de Ingles para certificación</t>
  </si>
  <si>
    <t>Curso de Verano de 48 hrs / 6 semanas / 1.5 hrs diarias</t>
  </si>
  <si>
    <t>Curso de Verano de 64 hrs / 6 semanas / 2 hrs diarias</t>
  </si>
  <si>
    <t>Curso de Verano de 80 hrs / 6 semanas / 2.5 hrs diarias</t>
  </si>
  <si>
    <t>Curso de Verano de 96 hrs / 6 semanas / 3 hrs diarias</t>
  </si>
  <si>
    <t>Curso de Preparación para Bachillerato</t>
  </si>
  <si>
    <t>Titulación</t>
  </si>
  <si>
    <t>Donación de libros para titulación</t>
  </si>
  <si>
    <t>CLAVE</t>
  </si>
  <si>
    <t>CONCEPTO</t>
  </si>
  <si>
    <t>MONTO</t>
  </si>
  <si>
    <t>N_control</t>
  </si>
  <si>
    <t>Monto</t>
  </si>
  <si>
    <t>LINEA DE CAPTURA</t>
  </si>
  <si>
    <t>Linea de Captura</t>
  </si>
  <si>
    <t>Apellido Paterno</t>
  </si>
  <si>
    <t>Apelido Materno</t>
  </si>
  <si>
    <t>Nombre completo:</t>
  </si>
  <si>
    <t>Concepto:</t>
  </si>
  <si>
    <t>Departamento</t>
  </si>
  <si>
    <t>Concepto</t>
  </si>
  <si>
    <t>Semestre</t>
  </si>
  <si>
    <t>Carrera</t>
  </si>
  <si>
    <t>Carrera:</t>
  </si>
  <si>
    <t>ARQUITECTURA</t>
  </si>
  <si>
    <t>ADMINISTRACION</t>
  </si>
  <si>
    <t>INDUSTRIAL</t>
  </si>
  <si>
    <t>SEMESTRE</t>
  </si>
  <si>
    <t>06</t>
  </si>
  <si>
    <t>07</t>
  </si>
  <si>
    <t>08</t>
  </si>
  <si>
    <t>09</t>
  </si>
  <si>
    <t>10</t>
  </si>
  <si>
    <t>11</t>
  </si>
  <si>
    <t>12</t>
  </si>
  <si>
    <t>Monto:</t>
  </si>
  <si>
    <t>Nombre(s)</t>
  </si>
  <si>
    <t>Nùmero de Control:</t>
  </si>
  <si>
    <t>Otros</t>
  </si>
  <si>
    <t>B:</t>
  </si>
  <si>
    <t>Fecha limite de pago:</t>
  </si>
  <si>
    <t>INSTITUTO TECNOLÓGICO DE GUSTAVO A. MADERO II</t>
  </si>
  <si>
    <t>0000000000000</t>
  </si>
  <si>
    <t>0000000000001</t>
  </si>
  <si>
    <t>0000000000101</t>
  </si>
  <si>
    <t>0000000000102</t>
  </si>
  <si>
    <t>0000000000103</t>
  </si>
  <si>
    <t>0000000000104</t>
  </si>
  <si>
    <t>0000000000105</t>
  </si>
  <si>
    <t>0000000000106</t>
  </si>
  <si>
    <t>0000000000107</t>
  </si>
  <si>
    <t>0000000000108</t>
  </si>
  <si>
    <t>0000000000109</t>
  </si>
  <si>
    <t>0000000000110</t>
  </si>
  <si>
    <t>0000000000111</t>
  </si>
  <si>
    <t>0000000000201</t>
  </si>
  <si>
    <t>0000000000202</t>
  </si>
  <si>
    <t>0000000000203</t>
  </si>
  <si>
    <t>0000000000204</t>
  </si>
  <si>
    <t>0000000000205</t>
  </si>
  <si>
    <t>0000000000206</t>
  </si>
  <si>
    <t>0000000000207</t>
  </si>
  <si>
    <t>0000000000208</t>
  </si>
  <si>
    <t>0000000000209</t>
  </si>
  <si>
    <t>0000000000210</t>
  </si>
  <si>
    <t>0000000000211</t>
  </si>
  <si>
    <t>0000000000212</t>
  </si>
  <si>
    <t>0000000000213</t>
  </si>
  <si>
    <t>0000000000214</t>
  </si>
  <si>
    <t>0000000000301</t>
  </si>
  <si>
    <t>0000000000302</t>
  </si>
  <si>
    <t>0000000000401</t>
  </si>
  <si>
    <t>0000000000402</t>
  </si>
  <si>
    <t>0000000000403</t>
  </si>
  <si>
    <t>0000000000404</t>
  </si>
  <si>
    <t>0000000000501</t>
  </si>
  <si>
    <t>0000000000502</t>
  </si>
  <si>
    <t>0000000000503</t>
  </si>
  <si>
    <t>Semestre/Nivel</t>
  </si>
  <si>
    <t>INGLES INTERNO</t>
  </si>
  <si>
    <t>INGLES EXTERNO</t>
  </si>
  <si>
    <t>0000000000112</t>
  </si>
  <si>
    <t>Materias Cursando</t>
  </si>
  <si>
    <t>0000000000405</t>
  </si>
  <si>
    <t>Curso Invierno Ingles</t>
  </si>
  <si>
    <t>0000000000406</t>
  </si>
  <si>
    <t>Examen colocación Ingles</t>
  </si>
  <si>
    <t>Más de 12 semestres</t>
  </si>
  <si>
    <t>Administativo</t>
  </si>
  <si>
    <t>ADMINISTRATIVO</t>
  </si>
  <si>
    <t>0000000000218</t>
  </si>
  <si>
    <t>0000000000407</t>
  </si>
  <si>
    <t>Curso de Inglés Verano 1 (Interno)</t>
  </si>
  <si>
    <t>Curso de Inglés Verano 2 (Interno)</t>
  </si>
  <si>
    <t>0000000000408</t>
  </si>
  <si>
    <t>0000000000409</t>
  </si>
  <si>
    <t>Curso de Inglés Verano 1 (Externo)</t>
  </si>
  <si>
    <t>Curso de Inglés Verano 2 (Externo)</t>
  </si>
  <si>
    <t>0000000000113</t>
  </si>
  <si>
    <t>Acto Protocolario Externo</t>
  </si>
  <si>
    <t>0000000000410</t>
  </si>
  <si>
    <t>0000000000411</t>
  </si>
  <si>
    <t>0000000000412</t>
  </si>
  <si>
    <t>0000000000413</t>
  </si>
  <si>
    <t>Curso de Regular Ingles para Personas Externas</t>
  </si>
  <si>
    <t>Curso Ingles Intersemestral para Personas Externas</t>
  </si>
  <si>
    <t>0000000000414</t>
  </si>
  <si>
    <t>0000000000415</t>
  </si>
  <si>
    <t>Curso Ingles "Plan Emergente"</t>
  </si>
  <si>
    <t>0000000000219</t>
  </si>
  <si>
    <t>Curso de Verano de 128 hrs / 6 semanas / 4.5 hrs diarias</t>
  </si>
  <si>
    <t>Curso de Regular Ingles para personal Interno</t>
  </si>
  <si>
    <t>Inscripción Nuevo Ingreso</t>
  </si>
  <si>
    <t>0000000000114</t>
  </si>
  <si>
    <t>0000000000115</t>
  </si>
  <si>
    <t>Re-expedición de Titulo Profesional</t>
  </si>
  <si>
    <t>Re-expedición de Certificado</t>
  </si>
  <si>
    <t>Seminario de Titulación</t>
  </si>
  <si>
    <t>Curso de Verano de 112 hrs / 6 semanas / 4 hrs diarias</t>
  </si>
  <si>
    <t>Planeación y Vinculación</t>
  </si>
  <si>
    <t>0000000000601</t>
  </si>
  <si>
    <t>Curso Remedial 2022</t>
  </si>
  <si>
    <t>TIC´S</t>
  </si>
  <si>
    <t>Emprendimiento e Innovación</t>
  </si>
  <si>
    <t>Curso de Actualización de Matemáticas</t>
  </si>
  <si>
    <t>Curso Gestión y Análisis de Recursos Humanos</t>
  </si>
  <si>
    <t>Desarrollo de Coaching para Líderes</t>
  </si>
  <si>
    <t>Impulsa tu Negocio a través de Marketing Digital</t>
  </si>
  <si>
    <t>0000000000602</t>
  </si>
  <si>
    <t>0000000000603</t>
  </si>
  <si>
    <t>0000000000604</t>
  </si>
  <si>
    <t>0000000000605</t>
  </si>
  <si>
    <t>0000000000606</t>
  </si>
  <si>
    <t>0000000000607</t>
  </si>
  <si>
    <t>0000000000608</t>
  </si>
  <si>
    <t>Fábrica de Ideas y Evaluación de Proyectos</t>
  </si>
  <si>
    <t>0000000000116</t>
  </si>
  <si>
    <t>0000000000117</t>
  </si>
  <si>
    <t>0000000000220</t>
  </si>
  <si>
    <t>0000000000416</t>
  </si>
  <si>
    <t>Examen de liberación del Ingles</t>
  </si>
  <si>
    <t>Curso Regular de Ingles Alumnos Semestre 4 A 12</t>
  </si>
  <si>
    <t>Curso Ingles Intersemestral para Alumnos de 1ro y 3ro Semestre</t>
  </si>
  <si>
    <t>Curso Regular de Ingles Alumnos de 1ro y 3ro Semestre</t>
  </si>
  <si>
    <t>Curso Ingles Intersemestral Alumnos Semestres 4to a 12vo</t>
  </si>
  <si>
    <t>Curso de preparación para ingreso a nivel superior</t>
  </si>
  <si>
    <t>Reinscripción Segundo a Octavo Semestre</t>
  </si>
  <si>
    <t>Reinscripción Noveno  Semestre o Posteriores</t>
  </si>
  <si>
    <t>Pago de Ficha de Examen de Nuevo Ingreso periodo Ago-Dic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</si>
</sst>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[$$-80A]#,##0.00"/>
    <numFmt numFmtId="165" formatCode="[$-C0A]d\-mmm\-yy;@"/>
    <numFmt numFmtId="166" formatCode="[$-C0A]d\ &quot;de&quot;\ mmmm\ &quot;de&quot;\ yy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44" fontId="0" fillId="0" borderId="0" xfId="0" applyNumberFormat="1"/>
    <xf numFmtId="14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164" fontId="1" fillId="0" borderId="8" xfId="0" applyNumberFormat="1" applyFont="1" applyBorder="1" applyAlignment="1">
      <alignment horizontal="center"/>
    </xf>
    <xf numFmtId="0" fontId="0" fillId="0" borderId="9" xfId="0" applyBorder="1"/>
    <xf numFmtId="0" fontId="3" fillId="0" borderId="6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49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1" fontId="2" fillId="0" borderId="0" xfId="0" applyNumberFormat="1" applyFont="1" applyProtection="1">
      <protection locked="0"/>
    </xf>
    <xf numFmtId="166" fontId="2" fillId="0" borderId="0" xfId="0" applyNumberFormat="1" applyFont="1" applyProtection="1">
      <protection locked="0"/>
    </xf>
    <xf numFmtId="165" fontId="2" fillId="0" borderId="0" xfId="0" applyNumberFormat="1" applyFont="1"/>
    <xf numFmtId="0" fontId="12" fillId="2" borderId="0" xfId="0" applyFont="1" applyFill="1" applyAlignment="1">
      <alignment horizontal="center"/>
    </xf>
    <xf numFmtId="49" fontId="13" fillId="2" borderId="0" xfId="0" applyNumberFormat="1" applyFont="1" applyFill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44" fontId="13" fillId="2" borderId="0" xfId="0" applyNumberFormat="1" applyFont="1" applyFill="1" applyProtection="1">
      <protection locked="0"/>
    </xf>
    <xf numFmtId="44" fontId="13" fillId="2" borderId="0" xfId="0" applyNumberFormat="1" applyFont="1" applyFill="1"/>
    <xf numFmtId="0" fontId="2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3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5" fillId="0" borderId="3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3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6" fillId="0" borderId="3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openxmlformats.org/officeDocument/2006/relationships/image" Target="../media/image6.png"/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18</xdr:row>
          <xdr:rowOff>180975</xdr:rowOff>
        </xdr:from>
        <xdr:to>
          <xdr:col>53</xdr:col>
          <xdr:colOff>38100</xdr:colOff>
          <xdr:row>21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10</xdr:row>
          <xdr:rowOff>38100</xdr:rowOff>
        </xdr:from>
        <xdr:to>
          <xdr:col>54</xdr:col>
          <xdr:colOff>142875</xdr:colOff>
          <xdr:row>13</xdr:row>
          <xdr:rowOff>38100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13</xdr:row>
          <xdr:rowOff>171450</xdr:rowOff>
        </xdr:from>
        <xdr:to>
          <xdr:col>53</xdr:col>
          <xdr:colOff>0</xdr:colOff>
          <xdr:row>16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40635</xdr:colOff>
      <xdr:row>1</xdr:row>
      <xdr:rowOff>95249</xdr:rowOff>
    </xdr:from>
    <xdr:to>
      <xdr:col>48</xdr:col>
      <xdr:colOff>114300</xdr:colOff>
      <xdr:row>4</xdr:row>
      <xdr:rowOff>171450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6635" y="285749"/>
          <a:ext cx="1330965" cy="647701"/>
        </a:xfrm>
        <a:prstGeom prst="rect">
          <a:avLst/>
        </a:prstGeom>
      </xdr:spPr>
    </xdr:pic>
    <xdr:clientData/>
  </xdr:twoCellAnchor>
  <xdr:twoCellAnchor editAs="oneCell">
    <xdr:from>
      <xdr:col>1</xdr:col>
      <xdr:colOff>200333</xdr:colOff>
      <xdr:row>1</xdr:row>
      <xdr:rowOff>63564</xdr:rowOff>
    </xdr:from>
    <xdr:to>
      <xdr:col>1</xdr:col>
      <xdr:colOff>733425</xdr:colOff>
      <xdr:row>5</xdr:row>
      <xdr:rowOff>13598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8424"/>
        <a:stretch/>
      </xdr:blipFill>
      <xdr:spPr>
        <a:xfrm>
          <a:off x="962333" y="254064"/>
          <a:ext cx="533092" cy="712034"/>
        </a:xfrm>
        <a:prstGeom prst="rect">
          <a:avLst/>
        </a:prstGeom>
      </xdr:spPr>
    </xdr:pic>
    <xdr:clientData/>
  </xdr:twoCellAnchor>
  <xdr:twoCellAnchor editAs="oneCell">
    <xdr:from>
      <xdr:col>41</xdr:col>
      <xdr:colOff>85725</xdr:colOff>
      <xdr:row>18</xdr:row>
      <xdr:rowOff>152399</xdr:rowOff>
    </xdr:from>
    <xdr:to>
      <xdr:col>48</xdr:col>
      <xdr:colOff>10198</xdr:colOff>
      <xdr:row>19</xdr:row>
      <xdr:rowOff>171450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82175" y="3581399"/>
          <a:ext cx="1391323" cy="2095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123825</xdr:colOff>
          <xdr:row>6</xdr:row>
          <xdr:rowOff>104775</xdr:rowOff>
        </xdr:from>
        <xdr:to>
          <xdr:col>53</xdr:col>
          <xdr:colOff>304800</xdr:colOff>
          <xdr:row>9</xdr:row>
          <xdr:rowOff>266700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383471</xdr:colOff>
      <xdr:row>17</xdr:row>
      <xdr:rowOff>311044</xdr:rowOff>
    </xdr:from>
    <xdr:ext cx="8436604" cy="843757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2F5ABC76-C36B-415A-82FB-A5D3447FBE06}"/>
            </a:ext>
          </a:extLst>
        </xdr:cNvPr>
        <xdr:cNvSpPr/>
      </xdr:nvSpPr>
      <xdr:spPr>
        <a:xfrm>
          <a:off x="1145471" y="5097357"/>
          <a:ext cx="8436604" cy="84375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MX" sz="4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Periodo Agosto </a:t>
          </a:r>
          <a:r>
            <a:rPr lang="es-MX" sz="4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- Diciembre 2023</a:t>
          </a:r>
          <a:endParaRPr lang="es-MX" sz="4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AW32"/>
  <sheetViews>
    <sheetView tabSelected="1" topLeftCell="A10" workbookViewId="0">
      <selection activeCell="B21" sqref="B21"/>
    </sheetView>
  </sheetViews>
  <sheetFormatPr baseColWidth="10" defaultRowHeight="15" x14ac:dyDescent="0.25"/>
  <cols>
    <col min="1" max="1" width="16.140625" style="4" customWidth="1"/>
    <col min="2" max="2" width="60.42578125" style="4" customWidth="1"/>
    <col min="3" max="3" width="22.5703125" style="4" hidden="1" customWidth="1"/>
    <col min="4" max="9" width="2" style="4" hidden="1" customWidth="1"/>
    <col min="10" max="48" width="3" style="4" hidden="1" customWidth="1"/>
    <col min="49" max="49" width="11.42578125" style="4" hidden="1" customWidth="1"/>
    <col min="50" max="50" width="11.42578125" style="4" customWidth="1"/>
    <col min="51" max="16384" width="11.42578125" style="4"/>
  </cols>
  <sheetData>
    <row r="2" s="5" customFormat="1" x14ac:dyDescent="0.25"/>
    <row r="20" spans="1:48" x14ac:dyDescent="0.25">
      <c r="A20" s="37" t="s">
        <v>45</v>
      </c>
      <c r="B20" s="3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x14ac:dyDescent="0.25">
      <c r="A21" s="4" t="s">
        <v>43</v>
      </c>
      <c r="B21" s="24"/>
    </row>
    <row r="22" spans="1:48" x14ac:dyDescent="0.25">
      <c r="A22" s="4" t="s">
        <v>52</v>
      </c>
      <c r="B22" s="24"/>
      <c r="C22" s="5" t="str">
        <f>IFERROR(VLOOKUP(B22,Conceptos!B3:D66,3,FALSE),"")</f>
        <v/>
      </c>
    </row>
    <row r="23" spans="1:48" x14ac:dyDescent="0.25">
      <c r="A23" s="4" t="s">
        <v>44</v>
      </c>
      <c r="B23" s="5" t="str">
        <f>IFERROR(VLOOKUP(C22,Conceptos!$A$3:$C$1048576,3,FALSE),"")</f>
        <v/>
      </c>
    </row>
    <row r="24" spans="1:48" x14ac:dyDescent="0.25">
      <c r="A24" s="4" t="s">
        <v>47</v>
      </c>
      <c r="B24" s="25"/>
      <c r="C24" s="27"/>
    </row>
    <row r="25" spans="1:48" x14ac:dyDescent="0.25">
      <c r="A25" s="4" t="s">
        <v>48</v>
      </c>
      <c r="B25" s="24"/>
      <c r="C25" s="29"/>
    </row>
    <row r="26" spans="1:48" x14ac:dyDescent="0.25">
      <c r="A26" s="4" t="s">
        <v>68</v>
      </c>
      <c r="B26" s="24"/>
    </row>
    <row r="27" spans="1:48" x14ac:dyDescent="0.25">
      <c r="A27" s="4" t="s">
        <v>110</v>
      </c>
      <c r="B27" s="26"/>
    </row>
    <row r="28" spans="1:48" x14ac:dyDescent="0.25">
      <c r="A28" s="4" t="s">
        <v>54</v>
      </c>
      <c r="B28" s="24"/>
      <c r="C28" s="4" t="str">
        <f>IFERROR(VLOOKUP(B28,Conceptos!F10:G16,2,FALSE)," ")</f>
        <v xml:space="preserve"> </v>
      </c>
    </row>
    <row r="32" spans="1:48" x14ac:dyDescent="0.25">
      <c r="B32" s="30"/>
    </row>
  </sheetData>
  <sheetProtection algorithmName="SHA-512" hashValue="8Mg+fXSLGxWn+vdlDbofJpawx4BENQ4ZtMRVJSiFEQoH+d2GxPG72FEkS2NiUJgmNnNL+tf1r3JVxSiOnVambw==" saltValue="IbAXNkVch2LuISPohzWl3A==" spinCount="100000" sheet="1" selectLockedCells="1"/>
  <mergeCells count="1">
    <mergeCell ref="A20:B2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50</xdr:col>
                <xdr:colOff>19050</xdr:colOff>
                <xdr:row>18</xdr:row>
                <xdr:rowOff>180975</xdr:rowOff>
              </from>
              <to>
                <xdr:col>53</xdr:col>
                <xdr:colOff>38100</xdr:colOff>
                <xdr:row>21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Label1">
          <controlPr defaultSize="0" autoLine="0" r:id="rId7">
            <anchor moveWithCells="1">
              <from>
                <xdr:col>50</xdr:col>
                <xdr:colOff>0</xdr:colOff>
                <xdr:row>10</xdr:row>
                <xdr:rowOff>38100</xdr:rowOff>
              </from>
              <to>
                <xdr:col>54</xdr:col>
                <xdr:colOff>142875</xdr:colOff>
                <xdr:row>13</xdr:row>
                <xdr:rowOff>38100</xdr:rowOff>
              </to>
            </anchor>
          </controlPr>
        </control>
      </mc:Choice>
      <mc:Fallback>
        <control shapeId="1026" r:id="rId6" name="Label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50</xdr:col>
                <xdr:colOff>0</xdr:colOff>
                <xdr:row>13</xdr:row>
                <xdr:rowOff>171450</xdr:rowOff>
              </from>
              <to>
                <xdr:col>53</xdr:col>
                <xdr:colOff>0</xdr:colOff>
                <xdr:row>16</xdr:row>
                <xdr:rowOff>171450</xdr:rowOff>
              </to>
            </anchor>
          </controlPr>
        </control>
      </mc:Choice>
      <mc:Fallback>
        <control shapeId="1027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Conceptos!$F$10:$F$16</xm:f>
          </x14:formula1>
          <xm:sqref>B28</xm:sqref>
        </x14:dataValidation>
        <x14:dataValidation type="list" allowBlank="1" showInputMessage="1" showErrorMessage="1" xr:uid="{00000000-0002-0000-0000-000001000000}">
          <x14:formula1>
            <xm:f>Conceptos!$J$3:$J$16</xm:f>
          </x14:formula1>
          <xm:sqref>B27</xm:sqref>
        </x14:dataValidation>
        <x14:dataValidation type="list" allowBlank="1" showInputMessage="1" showErrorMessage="1" xr:uid="{00000000-0002-0000-0000-000002000000}">
          <x14:formula1>
            <xm:f>OFFSET(Conceptos!B3,0,0,COUNTA(Conceptos!B:B)-1,)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2:AY1414"/>
  <sheetViews>
    <sheetView topLeftCell="A2" zoomScale="80" zoomScaleNormal="80" zoomScalePageLayoutView="60" workbookViewId="0">
      <selection activeCell="AQ33" sqref="AQ33"/>
    </sheetView>
  </sheetViews>
  <sheetFormatPr baseColWidth="10" defaultRowHeight="15" x14ac:dyDescent="0.25"/>
  <cols>
    <col min="3" max="48" width="3.140625" customWidth="1"/>
    <col min="49" max="50" width="2" customWidth="1"/>
  </cols>
  <sheetData>
    <row r="2" spans="2:51" x14ac:dyDescent="0.25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17"/>
    </row>
    <row r="3" spans="2:51" ht="15" customHeight="1" x14ac:dyDescent="0.25">
      <c r="B3" s="10"/>
      <c r="C3" s="49" t="s">
        <v>73</v>
      </c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X3" s="18"/>
      <c r="AY3" s="10"/>
    </row>
    <row r="4" spans="2:51" ht="15" customHeight="1" x14ac:dyDescent="0.25">
      <c r="B4" s="10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X4" s="18"/>
      <c r="AY4" s="10"/>
    </row>
    <row r="5" spans="2:51" x14ac:dyDescent="0.25">
      <c r="B5" s="10"/>
      <c r="AX5" s="18"/>
      <c r="AY5" s="10"/>
    </row>
    <row r="6" spans="2:51" x14ac:dyDescent="0.25">
      <c r="B6" s="52" t="s">
        <v>46</v>
      </c>
      <c r="C6" s="53"/>
      <c r="D6" s="53"/>
      <c r="E6" s="53"/>
      <c r="F6" s="53"/>
      <c r="AX6" s="18"/>
      <c r="AY6" s="10"/>
    </row>
    <row r="7" spans="2:51" x14ac:dyDescent="0.25">
      <c r="B7" s="52"/>
      <c r="C7" s="53"/>
      <c r="D7" s="53"/>
      <c r="E7" s="53"/>
      <c r="F7" s="53"/>
      <c r="AX7" s="18"/>
      <c r="AY7" s="10"/>
    </row>
    <row r="8" spans="2:51" ht="27" customHeight="1" x14ac:dyDescent="0.25">
      <c r="B8" s="11" t="s">
        <v>71</v>
      </c>
      <c r="C8" s="23" t="str">
        <f>IF(Linea!C20="","",Linea!C20)</f>
        <v/>
      </c>
      <c r="D8" s="23" t="str">
        <f>IF(Linea!D20="","",Linea!D20)</f>
        <v/>
      </c>
      <c r="E8" s="23" t="str">
        <f>IF(Linea!E20="","",Linea!E20)</f>
        <v/>
      </c>
      <c r="F8" s="23" t="str">
        <f>IF(Linea!F20="","",Linea!F20)</f>
        <v/>
      </c>
      <c r="G8" s="23" t="str">
        <f>IF(Linea!G20="","",Linea!G20)</f>
        <v/>
      </c>
      <c r="H8" s="23" t="str">
        <f>IF(Linea!H20="","",Linea!H20)</f>
        <v/>
      </c>
      <c r="I8" s="23" t="str">
        <f>IF(Linea!I20="","",Linea!I20)</f>
        <v/>
      </c>
      <c r="J8" s="23" t="str">
        <f>IF(Linea!J20="","",Linea!J20)</f>
        <v/>
      </c>
      <c r="K8" s="23" t="str">
        <f>IF(Linea!K20="","",Linea!K20)</f>
        <v/>
      </c>
      <c r="L8" s="23" t="str">
        <f>IF(Linea!L20="","",Linea!L20)</f>
        <v/>
      </c>
      <c r="M8" s="23" t="str">
        <f>IF(Linea!M20="","",Linea!M20)</f>
        <v/>
      </c>
      <c r="N8" s="23" t="str">
        <f>IF(Linea!N20="","",Linea!N20)</f>
        <v/>
      </c>
      <c r="O8" s="23" t="str">
        <f>IF(Linea!O20="","",Linea!O20)</f>
        <v/>
      </c>
      <c r="P8" s="23" t="str">
        <f>IF(Linea!P20="","",Linea!P20)</f>
        <v/>
      </c>
      <c r="Q8" s="23" t="str">
        <f>IF(Linea!Q20="","",Linea!Q20)</f>
        <v/>
      </c>
      <c r="R8" s="23" t="str">
        <f>IF(Linea!R20="","",Linea!R20)</f>
        <v/>
      </c>
      <c r="S8" s="23" t="str">
        <f>IF(Linea!S20="","",Linea!S20)</f>
        <v/>
      </c>
      <c r="T8" s="23" t="str">
        <f>IF(Linea!T20="","",Linea!T20)</f>
        <v/>
      </c>
      <c r="U8" s="23" t="str">
        <f>IF(Linea!U20="","",Linea!U20)</f>
        <v/>
      </c>
      <c r="V8" s="23" t="str">
        <f>IF(Linea!V20="","",Linea!V20)</f>
        <v/>
      </c>
      <c r="W8" s="23" t="str">
        <f>IF(Linea!W20="","",Linea!W20)</f>
        <v/>
      </c>
      <c r="X8" s="23" t="str">
        <f>IF(Linea!X20="","",Linea!X20)</f>
        <v/>
      </c>
      <c r="Y8" s="23" t="str">
        <f>IF(Linea!Y20="","",Linea!Y20)</f>
        <v/>
      </c>
      <c r="Z8" s="23" t="str">
        <f>IF(Linea!Z20="","",Linea!Z20)</f>
        <v/>
      </c>
      <c r="AA8" s="23" t="str">
        <f>IF(Linea!AA20="","",Linea!AA20)</f>
        <v/>
      </c>
      <c r="AB8" s="23" t="str">
        <f>IF(Linea!AB20="","",Linea!AB20)</f>
        <v/>
      </c>
      <c r="AC8" s="23" t="str">
        <f>IF(Linea!AC20="","",Linea!AC20)</f>
        <v/>
      </c>
      <c r="AD8" s="23" t="str">
        <f>IF(Linea!AD20="","",Linea!AD20)</f>
        <v/>
      </c>
      <c r="AE8" s="23" t="str">
        <f>IF(Linea!AE20="","",Linea!AE20)</f>
        <v/>
      </c>
      <c r="AF8" s="23" t="str">
        <f>IF(Linea!AF20="","",Linea!AF20)</f>
        <v/>
      </c>
      <c r="AG8" s="23" t="str">
        <f>IF(Linea!AG20="","",Linea!AG20)</f>
        <v/>
      </c>
      <c r="AH8" s="23" t="str">
        <f>IF(Linea!AH20="","",Linea!AH20)</f>
        <v/>
      </c>
      <c r="AI8" s="23" t="str">
        <f>IF(Linea!AI20="","",Linea!AI20)</f>
        <v/>
      </c>
      <c r="AJ8" s="23" t="str">
        <f>IF(Linea!AJ20="","",Linea!AJ20)</f>
        <v/>
      </c>
      <c r="AK8" s="23" t="str">
        <f>IF(Linea!AK20="","",Linea!AK20)</f>
        <v/>
      </c>
      <c r="AL8" s="23" t="str">
        <f>IF(Linea!AL20="","",Linea!AL20)</f>
        <v/>
      </c>
      <c r="AM8" s="23" t="str">
        <f>IF(Linea!AM20="","",Linea!AM20)</f>
        <v/>
      </c>
      <c r="AN8" s="23" t="str">
        <f>IF(Linea!AN20="","",Linea!AN20)</f>
        <v/>
      </c>
      <c r="AO8" s="23" t="str">
        <f>IF(Linea!AO20="","",Linea!AO20)</f>
        <v/>
      </c>
      <c r="AP8" s="23" t="str">
        <f>IF(Linea!AP20="","",Linea!AP20)</f>
        <v/>
      </c>
      <c r="AQ8" s="23" t="str">
        <f>IF(Linea!AQ20="","",Linea!AQ20)</f>
        <v/>
      </c>
      <c r="AR8" s="23" t="str">
        <f>IF(Linea!AR20="","",Linea!AR20)</f>
        <v/>
      </c>
      <c r="AS8" s="23" t="str">
        <f>IF(Linea!AS20="","",Linea!AS20)</f>
        <v/>
      </c>
      <c r="AT8" s="23" t="str">
        <f>IF(Linea!AT20="","",Linea!AT20)</f>
        <v/>
      </c>
      <c r="AU8" s="23" t="str">
        <f>IF(Linea!AU20="","",Linea!AU20)</f>
        <v/>
      </c>
      <c r="AV8" s="23" t="str">
        <f>IF(Linea!AV20="","",Linea!AV20)</f>
        <v/>
      </c>
      <c r="AW8" s="15"/>
      <c r="AX8" s="19"/>
      <c r="AY8" s="10"/>
    </row>
    <row r="9" spans="2:51" ht="27" customHeight="1" x14ac:dyDescent="0.25">
      <c r="B9" s="10"/>
      <c r="AX9" s="18"/>
      <c r="AY9" s="10"/>
    </row>
    <row r="10" spans="2:51" ht="27" customHeight="1" x14ac:dyDescent="0.45">
      <c r="B10" s="39" t="s">
        <v>69</v>
      </c>
      <c r="C10" s="40"/>
      <c r="D10" s="40"/>
      <c r="E10" s="40"/>
      <c r="F10" s="40"/>
      <c r="G10" s="40"/>
      <c r="H10" s="40"/>
      <c r="I10" s="40"/>
      <c r="J10" s="40"/>
      <c r="K10" s="48" t="str">
        <f>UPPER(Linea!$B$21)</f>
        <v/>
      </c>
      <c r="L10" s="48"/>
      <c r="M10" s="48"/>
      <c r="N10" s="48"/>
      <c r="O10" s="48"/>
      <c r="P10" s="48"/>
      <c r="Q10" s="48"/>
      <c r="AG10" s="44" t="s">
        <v>53</v>
      </c>
      <c r="AH10" s="44"/>
      <c r="AI10" s="44"/>
      <c r="AJ10" s="44"/>
      <c r="AK10" s="44"/>
      <c r="AL10" s="44"/>
      <c r="AM10" s="44"/>
      <c r="AN10" s="43" t="str">
        <f>IF(Linea!B27="","",Linea!B27)</f>
        <v/>
      </c>
      <c r="AO10" s="43"/>
      <c r="AP10" s="43"/>
      <c r="AQ10" s="43"/>
      <c r="AR10" s="43"/>
      <c r="AS10" s="43"/>
      <c r="AT10" s="43"/>
      <c r="AU10" s="43"/>
      <c r="AV10" s="43"/>
      <c r="AW10" s="6"/>
      <c r="AX10" s="20"/>
      <c r="AY10" s="10"/>
    </row>
    <row r="11" spans="2:51" ht="27" customHeight="1" x14ac:dyDescent="0.25">
      <c r="B11" s="10"/>
      <c r="AX11" s="18"/>
      <c r="AY11" s="10"/>
    </row>
    <row r="12" spans="2:51" ht="27" customHeight="1" x14ac:dyDescent="0.35">
      <c r="B12" s="45" t="s">
        <v>49</v>
      </c>
      <c r="C12" s="46"/>
      <c r="D12" s="46"/>
      <c r="E12" s="46"/>
      <c r="F12" s="48" t="str">
        <f>UPPER(CONCATENATE(Linea!$B$26," ",Linea!$B$24," ",Linea!$B$25))</f>
        <v xml:space="preserve">  </v>
      </c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X12" s="18"/>
      <c r="AY12" s="10"/>
    </row>
    <row r="13" spans="2:51" ht="27" customHeight="1" x14ac:dyDescent="0.25">
      <c r="B13" s="10"/>
      <c r="AX13" s="18"/>
      <c r="AY13" s="10"/>
    </row>
    <row r="14" spans="2:51" ht="27" customHeight="1" x14ac:dyDescent="0.45">
      <c r="B14" s="47" t="s">
        <v>50</v>
      </c>
      <c r="C14" s="44"/>
      <c r="D14" s="44"/>
      <c r="E14" s="44"/>
      <c r="F14" s="51" t="str">
        <f>UPPER(Linea!$B$22)</f>
        <v/>
      </c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J14" s="50" t="s">
        <v>67</v>
      </c>
      <c r="AK14" s="50"/>
      <c r="AL14" s="50"/>
      <c r="AM14" s="50"/>
      <c r="AN14" s="54" t="str">
        <f>IF(Linea!C24="","",Linea!C24)</f>
        <v/>
      </c>
      <c r="AO14" s="54"/>
      <c r="AP14" s="54"/>
      <c r="AQ14" s="54"/>
      <c r="AR14" s="54"/>
      <c r="AS14" s="54"/>
      <c r="AT14" s="54"/>
      <c r="AU14" s="54"/>
      <c r="AV14" s="54"/>
      <c r="AW14" s="16"/>
      <c r="AX14" s="21"/>
      <c r="AY14" s="10"/>
    </row>
    <row r="15" spans="2:51" ht="27" customHeight="1" x14ac:dyDescent="0.25">
      <c r="B15" s="10"/>
      <c r="AX15" s="18"/>
      <c r="AY15" s="10"/>
    </row>
    <row r="16" spans="2:51" ht="27" customHeight="1" x14ac:dyDescent="0.4">
      <c r="B16" s="41" t="s">
        <v>55</v>
      </c>
      <c r="C16" s="42"/>
      <c r="D16" s="42"/>
      <c r="E16" s="42"/>
      <c r="F16" s="43" t="str">
        <f>UPPER(Linea!$B$28)</f>
        <v/>
      </c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X16" s="18"/>
      <c r="AY16" s="10"/>
    </row>
    <row r="17" spans="2:51" ht="27" customHeight="1" x14ac:dyDescent="0.25">
      <c r="B17" s="12"/>
      <c r="C17" s="7"/>
      <c r="D17" s="7"/>
      <c r="E17" s="7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X17" s="18"/>
      <c r="AY17" s="10"/>
    </row>
    <row r="18" spans="2:51" ht="27" customHeight="1" x14ac:dyDescent="0.35">
      <c r="B18" s="39" t="s">
        <v>72</v>
      </c>
      <c r="C18" s="40"/>
      <c r="D18" s="40"/>
      <c r="E18" s="40"/>
      <c r="F18" s="40"/>
      <c r="G18" s="40"/>
      <c r="H18" s="40"/>
      <c r="I18" s="40"/>
      <c r="J18" s="38" t="str">
        <f>IF(Linea!C25="","",Linea!C25)</f>
        <v/>
      </c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X18" s="18"/>
      <c r="AY18" s="10"/>
    </row>
    <row r="19" spans="2:51" x14ac:dyDescent="0.25">
      <c r="B19" s="12"/>
      <c r="C19" s="7"/>
      <c r="D19" s="7"/>
      <c r="E19" s="7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X19" s="18"/>
      <c r="AY19" s="10"/>
    </row>
    <row r="20" spans="2:51" x14ac:dyDescent="0.25">
      <c r="B20" s="12"/>
      <c r="C20" s="7"/>
      <c r="D20" s="7"/>
      <c r="E20" s="7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X20" s="18"/>
      <c r="AY20" s="10"/>
    </row>
    <row r="21" spans="2:51" x14ac:dyDescent="0.25">
      <c r="B21" s="12"/>
      <c r="C21" s="7"/>
      <c r="D21" s="7"/>
      <c r="E21" s="7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X21" s="18"/>
      <c r="AY21" s="10"/>
    </row>
    <row r="22" spans="2:51" x14ac:dyDescent="0.25">
      <c r="B22" s="10"/>
      <c r="AX22" s="18"/>
      <c r="AY22" s="10"/>
    </row>
    <row r="23" spans="2:51" x14ac:dyDescent="0.25"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22"/>
      <c r="AY23" s="10"/>
    </row>
    <row r="24" spans="2:51" x14ac:dyDescent="0.25">
      <c r="AX24" s="9"/>
    </row>
    <row r="1414" spans="40:40" x14ac:dyDescent="0.25">
      <c r="AN1414">
        <v>50</v>
      </c>
    </row>
  </sheetData>
  <sheetProtection selectLockedCells="1"/>
  <mergeCells count="16">
    <mergeCell ref="C3:AS4"/>
    <mergeCell ref="F12:AT12"/>
    <mergeCell ref="AJ14:AM14"/>
    <mergeCell ref="F14:AH14"/>
    <mergeCell ref="B10:J10"/>
    <mergeCell ref="AN10:AV10"/>
    <mergeCell ref="B6:F7"/>
    <mergeCell ref="AN14:AV14"/>
    <mergeCell ref="J18:U18"/>
    <mergeCell ref="B18:I18"/>
    <mergeCell ref="B16:E16"/>
    <mergeCell ref="F16:AG16"/>
    <mergeCell ref="AG10:AM10"/>
    <mergeCell ref="B12:E12"/>
    <mergeCell ref="B14:E14"/>
    <mergeCell ref="K10:Q10"/>
  </mergeCells>
  <pageMargins left="0.7" right="0.7" top="0.75" bottom="0.75" header="0.3" footer="0.3"/>
  <pageSetup paperSize="9" scale="49" orientation="portrait" r:id="rId1"/>
  <colBreaks count="2" manualBreakCount="2">
    <brk id="50" min="1" max="22" man="1"/>
    <brk id="55" min="1" max="22" man="1"/>
  </colBreaks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defaultSize="0" autoLine="0" autoPict="0" r:id="rId5">
            <anchor moveWithCells="1">
              <from>
                <xdr:col>50</xdr:col>
                <xdr:colOff>123825</xdr:colOff>
                <xdr:row>6</xdr:row>
                <xdr:rowOff>104775</xdr:rowOff>
              </from>
              <to>
                <xdr:col>53</xdr:col>
                <xdr:colOff>304800</xdr:colOff>
                <xdr:row>9</xdr:row>
                <xdr:rowOff>266700</xdr:rowOff>
              </to>
            </anchor>
          </controlPr>
        </control>
      </mc:Choice>
      <mc:Fallback>
        <control shapeId="205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2:J67"/>
  <sheetViews>
    <sheetView workbookViewId="0">
      <selection activeCell="C3" sqref="C3"/>
    </sheetView>
  </sheetViews>
  <sheetFormatPr baseColWidth="10" defaultRowHeight="15" x14ac:dyDescent="0.25"/>
  <cols>
    <col min="1" max="1" width="14" style="33" bestFit="1" customWidth="1"/>
    <col min="2" max="2" width="69.5703125" style="33" customWidth="1"/>
    <col min="3" max="3" width="11.42578125" style="33"/>
    <col min="4" max="4" width="13.85546875" style="33" customWidth="1"/>
    <col min="5" max="5" width="11.42578125" style="33"/>
    <col min="6" max="6" width="31.85546875" style="33" bestFit="1" customWidth="1"/>
    <col min="7" max="16384" width="11.42578125" style="33"/>
  </cols>
  <sheetData>
    <row r="2" spans="1:10" x14ac:dyDescent="0.25">
      <c r="A2" s="31" t="s">
        <v>40</v>
      </c>
      <c r="B2" s="31" t="s">
        <v>41</v>
      </c>
      <c r="C2" s="31" t="s">
        <v>42</v>
      </c>
      <c r="D2" s="31" t="s">
        <v>51</v>
      </c>
      <c r="E2" s="32" t="s">
        <v>6</v>
      </c>
      <c r="F2" s="33" t="s">
        <v>11</v>
      </c>
      <c r="J2" s="33" t="s">
        <v>59</v>
      </c>
    </row>
    <row r="3" spans="1:10" x14ac:dyDescent="0.25">
      <c r="A3" s="32" t="s">
        <v>74</v>
      </c>
      <c r="B3" s="34" t="s">
        <v>70</v>
      </c>
      <c r="C3" s="35">
        <v>150</v>
      </c>
      <c r="D3" s="32" t="str">
        <f t="shared" ref="D3:D38" si="0">A3</f>
        <v>0000000000000</v>
      </c>
      <c r="E3" s="32"/>
      <c r="H3" s="33">
        <f>LEN(A3)</f>
        <v>13</v>
      </c>
      <c r="J3" s="32" t="s">
        <v>6</v>
      </c>
    </row>
    <row r="4" spans="1:10" x14ac:dyDescent="0.25">
      <c r="A4" s="32" t="s">
        <v>75</v>
      </c>
      <c r="B4" s="33" t="s">
        <v>23</v>
      </c>
      <c r="C4" s="36">
        <v>55</v>
      </c>
      <c r="D4" s="32" t="str">
        <f t="shared" si="0"/>
        <v>0000000000001</v>
      </c>
      <c r="E4" s="32" t="s">
        <v>0</v>
      </c>
      <c r="F4" s="33" t="s">
        <v>5</v>
      </c>
      <c r="H4" s="33">
        <f t="shared" ref="H4:H15" si="1">LEN(A4)</f>
        <v>13</v>
      </c>
      <c r="J4" s="32" t="s">
        <v>0</v>
      </c>
    </row>
    <row r="5" spans="1:10" x14ac:dyDescent="0.25">
      <c r="A5" s="32" t="s">
        <v>76</v>
      </c>
      <c r="B5" s="33" t="s">
        <v>12</v>
      </c>
      <c r="C5" s="36">
        <v>1980</v>
      </c>
      <c r="D5" s="32" t="str">
        <f t="shared" si="0"/>
        <v>0000000000101</v>
      </c>
      <c r="E5" s="32" t="s">
        <v>1</v>
      </c>
      <c r="F5" s="33" t="s">
        <v>7</v>
      </c>
      <c r="H5" s="33">
        <f t="shared" si="1"/>
        <v>13</v>
      </c>
      <c r="J5" s="32" t="s">
        <v>1</v>
      </c>
    </row>
    <row r="6" spans="1:10" x14ac:dyDescent="0.25">
      <c r="A6" s="32" t="s">
        <v>77</v>
      </c>
      <c r="B6" s="33" t="s">
        <v>13</v>
      </c>
      <c r="C6" s="36">
        <v>1980</v>
      </c>
      <c r="D6" s="32" t="str">
        <f t="shared" si="0"/>
        <v>0000000000102</v>
      </c>
      <c r="E6" s="32" t="s">
        <v>2</v>
      </c>
      <c r="F6" s="33" t="s">
        <v>8</v>
      </c>
      <c r="H6" s="33">
        <f t="shared" si="1"/>
        <v>13</v>
      </c>
      <c r="J6" s="32" t="s">
        <v>2</v>
      </c>
    </row>
    <row r="7" spans="1:10" x14ac:dyDescent="0.25">
      <c r="A7" s="32" t="s">
        <v>78</v>
      </c>
      <c r="B7" s="33" t="s">
        <v>14</v>
      </c>
      <c r="C7" s="36">
        <v>33</v>
      </c>
      <c r="D7" s="32" t="str">
        <f t="shared" si="0"/>
        <v>0000000000103</v>
      </c>
      <c r="E7" s="32" t="s">
        <v>3</v>
      </c>
      <c r="F7" s="33" t="s">
        <v>9</v>
      </c>
      <c r="H7" s="33">
        <f t="shared" si="1"/>
        <v>13</v>
      </c>
      <c r="J7" s="32" t="s">
        <v>3</v>
      </c>
    </row>
    <row r="8" spans="1:10" x14ac:dyDescent="0.25">
      <c r="A8" s="32" t="s">
        <v>79</v>
      </c>
      <c r="B8" s="33" t="s">
        <v>15</v>
      </c>
      <c r="C8" s="36">
        <v>33</v>
      </c>
      <c r="D8" s="32" t="str">
        <f t="shared" si="0"/>
        <v>0000000000104</v>
      </c>
      <c r="E8" s="32" t="s">
        <v>4</v>
      </c>
      <c r="F8" s="33" t="s">
        <v>10</v>
      </c>
      <c r="H8" s="33">
        <f t="shared" si="1"/>
        <v>13</v>
      </c>
      <c r="J8" s="32" t="s">
        <v>4</v>
      </c>
    </row>
    <row r="9" spans="1:10" x14ac:dyDescent="0.25">
      <c r="A9" s="32" t="s">
        <v>80</v>
      </c>
      <c r="B9" s="33" t="s">
        <v>16</v>
      </c>
      <c r="C9" s="36">
        <v>33</v>
      </c>
      <c r="D9" s="32" t="str">
        <f t="shared" si="0"/>
        <v>0000000000105</v>
      </c>
      <c r="E9" s="32" t="s">
        <v>60</v>
      </c>
      <c r="F9" s="33" t="s">
        <v>151</v>
      </c>
      <c r="H9" s="33">
        <f t="shared" si="1"/>
        <v>13</v>
      </c>
      <c r="J9" s="32" t="s">
        <v>60</v>
      </c>
    </row>
    <row r="10" spans="1:10" x14ac:dyDescent="0.25">
      <c r="A10" s="32" t="s">
        <v>81</v>
      </c>
      <c r="B10" s="33" t="s">
        <v>17</v>
      </c>
      <c r="C10" s="36">
        <v>33</v>
      </c>
      <c r="D10" s="32" t="str">
        <f t="shared" si="0"/>
        <v>0000000000106</v>
      </c>
      <c r="F10" s="33" t="s">
        <v>57</v>
      </c>
      <c r="G10" s="32" t="s">
        <v>0</v>
      </c>
      <c r="H10" s="33">
        <f t="shared" si="1"/>
        <v>13</v>
      </c>
      <c r="J10" s="32" t="s">
        <v>61</v>
      </c>
    </row>
    <row r="11" spans="1:10" x14ac:dyDescent="0.25">
      <c r="A11" s="32" t="s">
        <v>82</v>
      </c>
      <c r="B11" s="33" t="s">
        <v>18</v>
      </c>
      <c r="C11" s="36">
        <v>33</v>
      </c>
      <c r="D11" s="32" t="str">
        <f t="shared" si="0"/>
        <v>0000000000107</v>
      </c>
      <c r="F11" s="33" t="s">
        <v>56</v>
      </c>
      <c r="G11" s="32" t="s">
        <v>2</v>
      </c>
      <c r="H11" s="33">
        <f t="shared" si="1"/>
        <v>13</v>
      </c>
      <c r="J11" s="32" t="s">
        <v>62</v>
      </c>
    </row>
    <row r="12" spans="1:10" x14ac:dyDescent="0.25">
      <c r="A12" s="32" t="s">
        <v>83</v>
      </c>
      <c r="B12" s="33" t="s">
        <v>20</v>
      </c>
      <c r="C12" s="36">
        <v>110</v>
      </c>
      <c r="D12" s="32" t="str">
        <f t="shared" si="0"/>
        <v>0000000000108</v>
      </c>
      <c r="F12" s="33" t="s">
        <v>58</v>
      </c>
      <c r="G12" s="32" t="s">
        <v>1</v>
      </c>
      <c r="H12" s="33">
        <f t="shared" si="1"/>
        <v>13</v>
      </c>
      <c r="J12" s="32" t="s">
        <v>63</v>
      </c>
    </row>
    <row r="13" spans="1:10" x14ac:dyDescent="0.25">
      <c r="A13" s="32" t="s">
        <v>84</v>
      </c>
      <c r="B13" s="33" t="s">
        <v>21</v>
      </c>
      <c r="C13" s="36">
        <v>110</v>
      </c>
      <c r="D13" s="32" t="str">
        <f t="shared" si="0"/>
        <v>0000000000109</v>
      </c>
      <c r="F13" s="33" t="s">
        <v>111</v>
      </c>
      <c r="G13" s="32" t="s">
        <v>3</v>
      </c>
      <c r="H13" s="33">
        <f t="shared" si="1"/>
        <v>13</v>
      </c>
      <c r="J13" s="32" t="s">
        <v>64</v>
      </c>
    </row>
    <row r="14" spans="1:10" x14ac:dyDescent="0.25">
      <c r="A14" s="32" t="s">
        <v>85</v>
      </c>
      <c r="B14" s="33" t="s">
        <v>22</v>
      </c>
      <c r="C14" s="36">
        <v>165</v>
      </c>
      <c r="D14" s="32" t="str">
        <f t="shared" si="0"/>
        <v>0000000000110</v>
      </c>
      <c r="F14" s="33" t="s">
        <v>112</v>
      </c>
      <c r="G14" s="32" t="s">
        <v>4</v>
      </c>
      <c r="H14" s="33">
        <f t="shared" si="1"/>
        <v>13</v>
      </c>
      <c r="J14" s="32" t="s">
        <v>65</v>
      </c>
    </row>
    <row r="15" spans="1:10" x14ac:dyDescent="0.25">
      <c r="A15" s="32" t="s">
        <v>86</v>
      </c>
      <c r="B15" s="33" t="s">
        <v>38</v>
      </c>
      <c r="C15" s="36">
        <v>3300</v>
      </c>
      <c r="D15" s="32" t="str">
        <f t="shared" si="0"/>
        <v>0000000000111</v>
      </c>
      <c r="F15" s="33" t="s">
        <v>121</v>
      </c>
      <c r="G15" s="32" t="s">
        <v>60</v>
      </c>
      <c r="H15" s="33">
        <f t="shared" si="1"/>
        <v>13</v>
      </c>
      <c r="J15" s="32" t="s">
        <v>66</v>
      </c>
    </row>
    <row r="16" spans="1:10" x14ac:dyDescent="0.25">
      <c r="A16" s="32" t="s">
        <v>113</v>
      </c>
      <c r="B16" s="33" t="s">
        <v>114</v>
      </c>
      <c r="C16" s="36">
        <v>30</v>
      </c>
      <c r="D16" s="32" t="str">
        <f t="shared" si="0"/>
        <v>0000000000112</v>
      </c>
      <c r="F16" s="33" t="s">
        <v>154</v>
      </c>
      <c r="G16" s="32" t="s">
        <v>61</v>
      </c>
      <c r="H16" s="33">
        <f t="shared" ref="H16:H26" si="2">LEN(A22)</f>
        <v>13</v>
      </c>
      <c r="J16" s="33" t="s">
        <v>119</v>
      </c>
    </row>
    <row r="17" spans="1:10" x14ac:dyDescent="0.25">
      <c r="A17" s="32" t="s">
        <v>130</v>
      </c>
      <c r="B17" s="33" t="s">
        <v>147</v>
      </c>
      <c r="C17" s="36">
        <v>1100</v>
      </c>
      <c r="D17" s="32" t="str">
        <f t="shared" ref="D17:D19" si="3">A17</f>
        <v>0000000000113</v>
      </c>
      <c r="H17" s="33">
        <f t="shared" si="2"/>
        <v>13</v>
      </c>
      <c r="J17" s="33" t="s">
        <v>120</v>
      </c>
    </row>
    <row r="18" spans="1:10" x14ac:dyDescent="0.25">
      <c r="A18" s="32" t="s">
        <v>145</v>
      </c>
      <c r="B18" s="33" t="s">
        <v>148</v>
      </c>
      <c r="C18" s="36">
        <v>1100</v>
      </c>
      <c r="D18" s="32" t="str">
        <f t="shared" si="3"/>
        <v>0000000000114</v>
      </c>
      <c r="H18" s="33">
        <f t="shared" si="2"/>
        <v>13</v>
      </c>
    </row>
    <row r="19" spans="1:10" x14ac:dyDescent="0.25">
      <c r="A19" s="32" t="s">
        <v>146</v>
      </c>
      <c r="B19" s="33" t="s">
        <v>149</v>
      </c>
      <c r="C19" s="36">
        <v>7700</v>
      </c>
      <c r="D19" s="32" t="str">
        <f t="shared" si="3"/>
        <v>0000000000115</v>
      </c>
      <c r="H19" s="33">
        <f t="shared" si="2"/>
        <v>13</v>
      </c>
    </row>
    <row r="20" spans="1:10" x14ac:dyDescent="0.25">
      <c r="A20" s="32" t="s">
        <v>168</v>
      </c>
      <c r="B20" s="33" t="s">
        <v>131</v>
      </c>
      <c r="C20" s="36">
        <v>1500</v>
      </c>
      <c r="D20" s="32" t="str">
        <f t="shared" ref="D20:D21" si="4">A20</f>
        <v>0000000000116</v>
      </c>
      <c r="H20" s="33">
        <f t="shared" si="2"/>
        <v>13</v>
      </c>
    </row>
    <row r="21" spans="1:10" x14ac:dyDescent="0.25">
      <c r="A21" s="32" t="s">
        <v>169</v>
      </c>
      <c r="B21" s="33" t="s">
        <v>23</v>
      </c>
      <c r="C21" s="36">
        <v>55</v>
      </c>
      <c r="D21" s="32" t="str">
        <f t="shared" si="4"/>
        <v>0000000000117</v>
      </c>
      <c r="H21" s="33">
        <f t="shared" si="2"/>
        <v>13</v>
      </c>
    </row>
    <row r="22" spans="1:10" x14ac:dyDescent="0.25">
      <c r="A22" s="32" t="s">
        <v>87</v>
      </c>
      <c r="B22" s="33" t="s">
        <v>19</v>
      </c>
      <c r="C22" s="36">
        <v>1980</v>
      </c>
      <c r="D22" s="32" t="str">
        <f t="shared" si="0"/>
        <v>0000000000201</v>
      </c>
      <c r="H22" s="33">
        <f t="shared" si="2"/>
        <v>13</v>
      </c>
    </row>
    <row r="23" spans="1:10" x14ac:dyDescent="0.25">
      <c r="A23" s="32" t="s">
        <v>88</v>
      </c>
      <c r="B23" s="33" t="s">
        <v>24</v>
      </c>
      <c r="C23" s="36">
        <v>55</v>
      </c>
      <c r="D23" s="32" t="str">
        <f t="shared" si="0"/>
        <v>0000000000202</v>
      </c>
      <c r="H23" s="33">
        <f t="shared" si="2"/>
        <v>13</v>
      </c>
    </row>
    <row r="24" spans="1:10" x14ac:dyDescent="0.25">
      <c r="A24" s="32" t="s">
        <v>89</v>
      </c>
      <c r="B24" s="33" t="s">
        <v>25</v>
      </c>
      <c r="C24" s="36">
        <v>110</v>
      </c>
      <c r="D24" s="32" t="str">
        <f t="shared" si="0"/>
        <v>0000000000203</v>
      </c>
      <c r="H24" s="33">
        <f t="shared" si="2"/>
        <v>13</v>
      </c>
    </row>
    <row r="25" spans="1:10" x14ac:dyDescent="0.25">
      <c r="A25" s="32" t="s">
        <v>90</v>
      </c>
      <c r="B25" s="33" t="s">
        <v>26</v>
      </c>
      <c r="C25" s="36">
        <v>1100</v>
      </c>
      <c r="D25" s="32" t="str">
        <f t="shared" si="0"/>
        <v>0000000000204</v>
      </c>
      <c r="H25" s="33">
        <f t="shared" si="2"/>
        <v>13</v>
      </c>
    </row>
    <row r="26" spans="1:10" x14ac:dyDescent="0.25">
      <c r="A26" s="32" t="s">
        <v>91</v>
      </c>
      <c r="B26" s="33" t="s">
        <v>27</v>
      </c>
      <c r="C26" s="36">
        <v>55</v>
      </c>
      <c r="D26" s="32" t="str">
        <f t="shared" si="0"/>
        <v>0000000000205</v>
      </c>
      <c r="H26" s="33">
        <f t="shared" si="2"/>
        <v>13</v>
      </c>
    </row>
    <row r="27" spans="1:10" x14ac:dyDescent="0.25">
      <c r="A27" s="32" t="s">
        <v>92</v>
      </c>
      <c r="B27" s="33" t="s">
        <v>28</v>
      </c>
      <c r="C27" s="36">
        <v>198</v>
      </c>
      <c r="D27" s="32" t="str">
        <f t="shared" si="0"/>
        <v>0000000000206</v>
      </c>
      <c r="H27" s="33">
        <f>LEN(A34)</f>
        <v>13</v>
      </c>
    </row>
    <row r="28" spans="1:10" x14ac:dyDescent="0.25">
      <c r="A28" s="32" t="s">
        <v>93</v>
      </c>
      <c r="B28" s="33" t="s">
        <v>29</v>
      </c>
      <c r="C28" s="36">
        <v>1100</v>
      </c>
      <c r="D28" s="32" t="str">
        <f t="shared" si="0"/>
        <v>0000000000207</v>
      </c>
      <c r="H28" s="33">
        <f>LEN(A35)</f>
        <v>13</v>
      </c>
    </row>
    <row r="29" spans="1:10" x14ac:dyDescent="0.25">
      <c r="A29" s="32" t="s">
        <v>94</v>
      </c>
      <c r="B29" s="33" t="s">
        <v>30</v>
      </c>
      <c r="C29" s="36">
        <v>110</v>
      </c>
      <c r="D29" s="32" t="str">
        <f t="shared" si="0"/>
        <v>0000000000208</v>
      </c>
      <c r="H29" s="33">
        <f>LEN(A36)</f>
        <v>13</v>
      </c>
    </row>
    <row r="30" spans="1:10" x14ac:dyDescent="0.25">
      <c r="A30" s="32" t="s">
        <v>95</v>
      </c>
      <c r="B30" s="33" t="s">
        <v>33</v>
      </c>
      <c r="C30" s="36">
        <v>500</v>
      </c>
      <c r="D30" s="32" t="str">
        <f t="shared" si="0"/>
        <v>0000000000209</v>
      </c>
      <c r="H30" s="33" t="e">
        <f>LEN(#REF!)</f>
        <v>#REF!</v>
      </c>
    </row>
    <row r="31" spans="1:10" x14ac:dyDescent="0.25">
      <c r="A31" s="32" t="s">
        <v>96</v>
      </c>
      <c r="B31" s="33" t="s">
        <v>34</v>
      </c>
      <c r="C31" s="36">
        <v>650</v>
      </c>
      <c r="D31" s="32" t="str">
        <f t="shared" si="0"/>
        <v>0000000000210</v>
      </c>
      <c r="H31" s="33">
        <f>LEN(A37)</f>
        <v>13</v>
      </c>
    </row>
    <row r="32" spans="1:10" x14ac:dyDescent="0.25">
      <c r="A32" s="32" t="s">
        <v>97</v>
      </c>
      <c r="B32" s="33" t="s">
        <v>35</v>
      </c>
      <c r="C32" s="36">
        <v>800</v>
      </c>
      <c r="D32" s="32" t="str">
        <f t="shared" si="0"/>
        <v>0000000000211</v>
      </c>
      <c r="H32" s="33">
        <f>LEN(A38)</f>
        <v>13</v>
      </c>
    </row>
    <row r="33" spans="1:8" x14ac:dyDescent="0.25">
      <c r="A33" s="32" t="s">
        <v>170</v>
      </c>
      <c r="B33" s="33" t="s">
        <v>150</v>
      </c>
      <c r="C33" s="36">
        <v>1050</v>
      </c>
      <c r="D33" s="32" t="str">
        <f t="shared" ref="D33" si="5">A33</f>
        <v>0000000000220</v>
      </c>
    </row>
    <row r="34" spans="1:8" x14ac:dyDescent="0.25">
      <c r="A34" s="32" t="s">
        <v>98</v>
      </c>
      <c r="B34" s="33" t="s">
        <v>36</v>
      </c>
      <c r="C34" s="36">
        <v>950</v>
      </c>
      <c r="D34" s="32" t="str">
        <f t="shared" si="0"/>
        <v>0000000000212</v>
      </c>
    </row>
    <row r="35" spans="1:8" x14ac:dyDescent="0.25">
      <c r="A35" s="32" t="s">
        <v>99</v>
      </c>
      <c r="B35" s="33" t="s">
        <v>142</v>
      </c>
      <c r="C35" s="36">
        <v>1100</v>
      </c>
      <c r="D35" s="32" t="str">
        <f t="shared" si="0"/>
        <v>0000000000213</v>
      </c>
      <c r="H35" s="33">
        <f>LEN(A40)</f>
        <v>13</v>
      </c>
    </row>
    <row r="36" spans="1:8" x14ac:dyDescent="0.25">
      <c r="A36" s="32" t="s">
        <v>100</v>
      </c>
      <c r="B36" s="33" t="s">
        <v>179</v>
      </c>
      <c r="C36" s="36">
        <v>2000</v>
      </c>
      <c r="D36" s="32" t="str">
        <f t="shared" si="0"/>
        <v>0000000000214</v>
      </c>
      <c r="H36" s="33">
        <f>LEN(A41)</f>
        <v>13</v>
      </c>
    </row>
    <row r="37" spans="1:8" x14ac:dyDescent="0.25">
      <c r="A37" s="32" t="s">
        <v>122</v>
      </c>
      <c r="B37" s="33" t="s">
        <v>178</v>
      </c>
      <c r="C37" s="36">
        <v>2500</v>
      </c>
      <c r="D37" s="32" t="str">
        <f t="shared" si="0"/>
        <v>0000000000218</v>
      </c>
      <c r="H37" s="33">
        <f>LEN(A42)</f>
        <v>13</v>
      </c>
    </row>
    <row r="38" spans="1:8" x14ac:dyDescent="0.25">
      <c r="A38" s="32" t="s">
        <v>141</v>
      </c>
      <c r="B38" s="33" t="s">
        <v>150</v>
      </c>
      <c r="C38" s="36">
        <v>1050</v>
      </c>
      <c r="D38" s="32" t="str">
        <f t="shared" si="0"/>
        <v>0000000000219</v>
      </c>
      <c r="H38" s="33">
        <f>LEN(A43)</f>
        <v>13</v>
      </c>
    </row>
    <row r="39" spans="1:8" x14ac:dyDescent="0.25">
      <c r="A39" s="32" t="s">
        <v>101</v>
      </c>
      <c r="B39" s="33" t="s">
        <v>31</v>
      </c>
      <c r="C39" s="36">
        <v>11</v>
      </c>
      <c r="D39" s="32" t="str">
        <f t="shared" ref="D39:D59" si="6">A39</f>
        <v>0000000000301</v>
      </c>
      <c r="H39" s="33">
        <f>LEN(A44)</f>
        <v>13</v>
      </c>
    </row>
    <row r="40" spans="1:8" x14ac:dyDescent="0.25">
      <c r="A40" s="32" t="s">
        <v>102</v>
      </c>
      <c r="B40" s="33" t="s">
        <v>39</v>
      </c>
      <c r="C40" s="36">
        <v>1100</v>
      </c>
      <c r="D40" s="32" t="str">
        <f t="shared" si="6"/>
        <v>0000000000302</v>
      </c>
      <c r="H40" s="33">
        <f>LEN(A57)</f>
        <v>13</v>
      </c>
    </row>
    <row r="41" spans="1:8" x14ac:dyDescent="0.25">
      <c r="A41" s="32" t="s">
        <v>103</v>
      </c>
      <c r="B41" s="33" t="s">
        <v>32</v>
      </c>
      <c r="C41" s="36">
        <v>1500</v>
      </c>
      <c r="D41" s="32" t="str">
        <f t="shared" si="6"/>
        <v>0000000000401</v>
      </c>
      <c r="H41" s="33">
        <f>LEN(A58)</f>
        <v>13</v>
      </c>
    </row>
    <row r="42" spans="1:8" x14ac:dyDescent="0.25">
      <c r="A42" s="32" t="s">
        <v>104</v>
      </c>
      <c r="B42" s="33" t="s">
        <v>136</v>
      </c>
      <c r="C42" s="36">
        <v>1000</v>
      </c>
      <c r="D42" s="32" t="str">
        <f t="shared" si="6"/>
        <v>0000000000402</v>
      </c>
    </row>
    <row r="43" spans="1:8" x14ac:dyDescent="0.25">
      <c r="A43" s="32" t="s">
        <v>105</v>
      </c>
      <c r="B43" s="33" t="s">
        <v>143</v>
      </c>
      <c r="C43" s="36">
        <v>510</v>
      </c>
      <c r="D43" s="32" t="str">
        <f t="shared" si="6"/>
        <v>0000000000403</v>
      </c>
    </row>
    <row r="44" spans="1:8" x14ac:dyDescent="0.25">
      <c r="A44" s="32" t="s">
        <v>106</v>
      </c>
      <c r="B44" s="33" t="s">
        <v>124</v>
      </c>
      <c r="C44" s="36">
        <v>750</v>
      </c>
      <c r="D44" s="32" t="str">
        <f t="shared" si="6"/>
        <v>0000000000404</v>
      </c>
    </row>
    <row r="45" spans="1:8" x14ac:dyDescent="0.25">
      <c r="A45" s="32" t="s">
        <v>115</v>
      </c>
      <c r="B45" s="33" t="s">
        <v>125</v>
      </c>
      <c r="C45" s="36">
        <v>750</v>
      </c>
      <c r="D45" s="32" t="str">
        <f t="shared" si="6"/>
        <v>0000000000405</v>
      </c>
      <c r="H45" s="33">
        <f t="shared" ref="H45" si="7">LEN(A59)</f>
        <v>13</v>
      </c>
    </row>
    <row r="46" spans="1:8" x14ac:dyDescent="0.25">
      <c r="A46" s="32" t="s">
        <v>117</v>
      </c>
      <c r="B46" s="33" t="s">
        <v>128</v>
      </c>
      <c r="C46" s="36">
        <v>1000</v>
      </c>
      <c r="D46" s="32" t="str">
        <f t="shared" si="6"/>
        <v>0000000000406</v>
      </c>
      <c r="H46" s="33">
        <f>LEN(A58)</f>
        <v>13</v>
      </c>
    </row>
    <row r="47" spans="1:8" x14ac:dyDescent="0.25">
      <c r="A47" s="32" t="s">
        <v>123</v>
      </c>
      <c r="B47" s="33" t="s">
        <v>129</v>
      </c>
      <c r="C47" s="36">
        <v>1000</v>
      </c>
      <c r="D47" s="32" t="str">
        <f t="shared" si="6"/>
        <v>0000000000407</v>
      </c>
    </row>
    <row r="48" spans="1:8" x14ac:dyDescent="0.25">
      <c r="A48" s="32" t="s">
        <v>126</v>
      </c>
      <c r="B48" s="33" t="s">
        <v>116</v>
      </c>
      <c r="C48" s="36">
        <v>750</v>
      </c>
      <c r="D48" s="32" t="str">
        <f t="shared" si="6"/>
        <v>0000000000408</v>
      </c>
    </row>
    <row r="49" spans="1:8" x14ac:dyDescent="0.25">
      <c r="A49" s="32" t="s">
        <v>127</v>
      </c>
      <c r="B49" s="33" t="s">
        <v>118</v>
      </c>
      <c r="C49" s="36">
        <v>250</v>
      </c>
      <c r="D49" s="32" t="str">
        <f t="shared" si="6"/>
        <v>0000000000409</v>
      </c>
    </row>
    <row r="50" spans="1:8" x14ac:dyDescent="0.25">
      <c r="A50" s="32" t="s">
        <v>132</v>
      </c>
      <c r="B50" s="33" t="s">
        <v>175</v>
      </c>
      <c r="C50" s="36">
        <v>750</v>
      </c>
      <c r="D50" s="32" t="str">
        <f t="shared" si="6"/>
        <v>0000000000410</v>
      </c>
    </row>
    <row r="51" spans="1:8" x14ac:dyDescent="0.25">
      <c r="A51" s="32" t="s">
        <v>133</v>
      </c>
      <c r="B51" s="33" t="s">
        <v>173</v>
      </c>
      <c r="C51" s="36">
        <v>510</v>
      </c>
      <c r="D51" s="32" t="str">
        <f t="shared" si="6"/>
        <v>0000000000411</v>
      </c>
    </row>
    <row r="52" spans="1:8" x14ac:dyDescent="0.25">
      <c r="A52" s="32" t="s">
        <v>134</v>
      </c>
      <c r="B52" s="33" t="s">
        <v>137</v>
      </c>
      <c r="C52" s="36">
        <v>1250</v>
      </c>
      <c r="D52" s="32" t="str">
        <f t="shared" si="6"/>
        <v>0000000000412</v>
      </c>
    </row>
    <row r="53" spans="1:8" x14ac:dyDescent="0.25">
      <c r="A53" s="32" t="s">
        <v>135</v>
      </c>
      <c r="B53" s="33" t="s">
        <v>174</v>
      </c>
      <c r="C53" s="36">
        <v>1010</v>
      </c>
      <c r="D53" s="32" t="str">
        <f t="shared" si="6"/>
        <v>0000000000413</v>
      </c>
      <c r="H53" s="33">
        <f>LEN(A59)</f>
        <v>13</v>
      </c>
    </row>
    <row r="54" spans="1:8" x14ac:dyDescent="0.25">
      <c r="A54" s="32" t="s">
        <v>138</v>
      </c>
      <c r="B54" s="33" t="s">
        <v>176</v>
      </c>
      <c r="C54" s="36">
        <v>750</v>
      </c>
      <c r="D54" s="32" t="str">
        <f t="shared" si="6"/>
        <v>0000000000414</v>
      </c>
    </row>
    <row r="55" spans="1:8" x14ac:dyDescent="0.25">
      <c r="A55" s="32" t="s">
        <v>139</v>
      </c>
      <c r="B55" s="33" t="s">
        <v>140</v>
      </c>
      <c r="C55" s="36">
        <v>760</v>
      </c>
      <c r="D55" s="32" t="str">
        <f t="shared" si="6"/>
        <v>0000000000415</v>
      </c>
    </row>
    <row r="56" spans="1:8" x14ac:dyDescent="0.25">
      <c r="A56" s="32" t="s">
        <v>171</v>
      </c>
      <c r="B56" s="33" t="s">
        <v>172</v>
      </c>
      <c r="C56" s="36">
        <v>1000</v>
      </c>
      <c r="D56" s="32" t="str">
        <f t="shared" si="6"/>
        <v>0000000000416</v>
      </c>
    </row>
    <row r="57" spans="1:8" x14ac:dyDescent="0.25">
      <c r="A57" s="32" t="s">
        <v>107</v>
      </c>
      <c r="B57" s="33" t="s">
        <v>37</v>
      </c>
      <c r="C57" s="36">
        <v>2000</v>
      </c>
      <c r="D57" s="32" t="str">
        <f t="shared" si="6"/>
        <v>0000000000501</v>
      </c>
    </row>
    <row r="58" spans="1:8" x14ac:dyDescent="0.25">
      <c r="A58" s="32" t="s">
        <v>108</v>
      </c>
      <c r="B58" s="33" t="s">
        <v>144</v>
      </c>
      <c r="C58" s="36">
        <v>2800</v>
      </c>
      <c r="D58" s="32" t="str">
        <f t="shared" si="6"/>
        <v>0000000000502</v>
      </c>
    </row>
    <row r="59" spans="1:8" x14ac:dyDescent="0.25">
      <c r="A59" s="32" t="s">
        <v>109</v>
      </c>
      <c r="B59" s="33" t="s">
        <v>180</v>
      </c>
      <c r="C59" s="36">
        <v>800</v>
      </c>
      <c r="D59" s="32" t="str">
        <f t="shared" si="6"/>
        <v>0000000000503</v>
      </c>
    </row>
    <row r="60" spans="1:8" x14ac:dyDescent="0.25">
      <c r="A60" s="32" t="s">
        <v>152</v>
      </c>
      <c r="B60" s="33" t="s">
        <v>153</v>
      </c>
      <c r="C60" s="36">
        <v>1700</v>
      </c>
      <c r="D60" s="32" t="str">
        <f t="shared" ref="D60:D67" si="8">A60</f>
        <v>0000000000601</v>
      </c>
    </row>
    <row r="61" spans="1:8" x14ac:dyDescent="0.25">
      <c r="A61" s="32" t="s">
        <v>160</v>
      </c>
      <c r="B61" s="33" t="s">
        <v>155</v>
      </c>
      <c r="C61" s="36">
        <v>1000</v>
      </c>
      <c r="D61" s="32" t="str">
        <f t="shared" si="8"/>
        <v>0000000000602</v>
      </c>
    </row>
    <row r="62" spans="1:8" x14ac:dyDescent="0.25">
      <c r="A62" s="32" t="s">
        <v>161</v>
      </c>
      <c r="B62" s="33" t="s">
        <v>177</v>
      </c>
      <c r="C62" s="36">
        <v>2500</v>
      </c>
      <c r="D62" s="32" t="str">
        <f t="shared" si="8"/>
        <v>0000000000603</v>
      </c>
    </row>
    <row r="63" spans="1:8" x14ac:dyDescent="0.25">
      <c r="A63" s="32" t="s">
        <v>162</v>
      </c>
      <c r="B63" s="33" t="s">
        <v>156</v>
      </c>
      <c r="C63" s="36">
        <v>1400</v>
      </c>
      <c r="D63" s="32" t="str">
        <f t="shared" si="8"/>
        <v>0000000000604</v>
      </c>
    </row>
    <row r="64" spans="1:8" x14ac:dyDescent="0.25">
      <c r="A64" s="32" t="s">
        <v>163</v>
      </c>
      <c r="B64" s="33" t="s">
        <v>157</v>
      </c>
      <c r="C64" s="36">
        <v>1200</v>
      </c>
      <c r="D64" s="32" t="str">
        <f t="shared" si="8"/>
        <v>0000000000605</v>
      </c>
    </row>
    <row r="65" spans="1:4" x14ac:dyDescent="0.25">
      <c r="A65" s="32" t="s">
        <v>164</v>
      </c>
      <c r="B65" s="33" t="s">
        <v>158</v>
      </c>
      <c r="C65" s="36">
        <v>1200</v>
      </c>
      <c r="D65" s="32" t="str">
        <f t="shared" si="8"/>
        <v>0000000000606</v>
      </c>
    </row>
    <row r="66" spans="1:4" x14ac:dyDescent="0.25">
      <c r="A66" s="32" t="s">
        <v>165</v>
      </c>
      <c r="B66" s="33" t="s">
        <v>159</v>
      </c>
      <c r="C66" s="36">
        <v>1000</v>
      </c>
      <c r="D66" s="32" t="str">
        <f t="shared" si="8"/>
        <v>0000000000607</v>
      </c>
    </row>
    <row r="67" spans="1:4" x14ac:dyDescent="0.25">
      <c r="A67" s="32" t="s">
        <v>166</v>
      </c>
      <c r="B67" s="33" t="s">
        <v>167</v>
      </c>
      <c r="C67" s="36">
        <v>1000</v>
      </c>
      <c r="D67" s="32" t="str">
        <f t="shared" si="8"/>
        <v>0000000000608</v>
      </c>
    </row>
  </sheetData>
  <sheetProtection algorithmName="SHA-512" hashValue="gFjgtr23IUS8aF3ser4nU9TDNA+66izZJQGd8Xlfkrk8OwTFyalVZ3rSS+TkWQNJKmWquc23ex3TfUbEWm48gw==" saltValue="98Pjk28EIzZNpBbafII/8g==" spinCount="100000" sheet="1" selectLockedCells="1"/>
  <sortState xmlns:xlrd2="http://schemas.microsoft.com/office/spreadsheetml/2017/richdata2" ref="A3:D39">
    <sortCondition ref="A3:A39"/>
  </sortState>
  <phoneticPr fontId="1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D2:AH11"/>
  <sheetViews>
    <sheetView workbookViewId="0">
      <selection activeCell="AD26" sqref="AC26:AD26"/>
    </sheetView>
  </sheetViews>
  <sheetFormatPr baseColWidth="10" defaultRowHeight="15" x14ac:dyDescent="0.25"/>
  <cols>
    <col min="1" max="28" width="2" customWidth="1"/>
    <col min="31" max="31" width="23.7109375" customWidth="1"/>
    <col min="33" max="33" width="10" customWidth="1"/>
  </cols>
  <sheetData>
    <row r="2" spans="30:34" x14ac:dyDescent="0.25">
      <c r="AD2" s="1"/>
      <c r="AF2" s="2"/>
      <c r="AH2" s="3"/>
    </row>
    <row r="3" spans="30:34" x14ac:dyDescent="0.25">
      <c r="AD3" s="1"/>
      <c r="AF3" s="2"/>
      <c r="AH3" s="3"/>
    </row>
    <row r="4" spans="30:34" x14ac:dyDescent="0.25">
      <c r="AD4" s="1"/>
      <c r="AF4" s="2"/>
      <c r="AH4" s="3"/>
    </row>
    <row r="5" spans="30:34" x14ac:dyDescent="0.25">
      <c r="AD5" s="1"/>
      <c r="AF5" s="2"/>
      <c r="AH5" s="3"/>
    </row>
    <row r="6" spans="30:34" x14ac:dyDescent="0.25">
      <c r="AD6" s="1"/>
      <c r="AF6" s="2"/>
      <c r="AH6" s="3"/>
    </row>
    <row r="7" spans="30:34" x14ac:dyDescent="0.25">
      <c r="AD7" s="1"/>
      <c r="AF7" s="2"/>
      <c r="AH7" s="3"/>
    </row>
    <row r="8" spans="30:34" x14ac:dyDescent="0.25">
      <c r="AD8" s="1"/>
      <c r="AF8" s="2"/>
      <c r="AH8" s="3"/>
    </row>
    <row r="9" spans="30:34" x14ac:dyDescent="0.25">
      <c r="AD9" s="1"/>
      <c r="AF9" s="2"/>
      <c r="AH9" s="3"/>
    </row>
    <row r="10" spans="30:34" x14ac:dyDescent="0.25">
      <c r="AD10" s="1"/>
      <c r="AF10" s="2"/>
      <c r="AH10" s="3"/>
    </row>
    <row r="11" spans="30:34" x14ac:dyDescent="0.25">
      <c r="AD11" s="1"/>
      <c r="AF11" s="2"/>
      <c r="AH11" s="3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Linea</vt:lpstr>
      <vt:lpstr>formato para imprimir</vt:lpstr>
      <vt:lpstr>Conceptos</vt:lpstr>
      <vt:lpstr>Ejemplos</vt:lpstr>
      <vt:lpstr>'formato para imprimir'!Área_de_impresión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Norma</dc:creator>
  <cp:lastModifiedBy>Usuario de Windows</cp:lastModifiedBy>
  <cp:lastPrinted>2018-07-09T23:47:20Z</cp:lastPrinted>
  <dcterms:created xsi:type="dcterms:W3CDTF">2018-05-29T15:47:45Z</dcterms:created>
  <dcterms:modified xsi:type="dcterms:W3CDTF">2023-03-23T17:24:38Z</dcterms:modified>
</cp:coreProperties>
</file>